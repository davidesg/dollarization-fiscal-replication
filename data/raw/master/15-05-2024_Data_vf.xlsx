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etadata" sheetId="1" state="visible" r:id="rId3"/>
    <sheet name="Data" sheetId="2" state="visible" r:id="rId4"/>
    <sheet name="Data sa" sheetId="3" state="visible" r:id="rId5"/>
    <sheet name="Data trim" sheetId="4" state="visible" r:id="rId6"/>
    <sheet name="Data trim_sa" sheetId="5" state="visible" r:id="rId7"/>
    <sheet name="Hoja1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Gross Domestic Product: Implicit Price Deflator, Index Q1 2018=100, Quarterly, Seasonally Adjusted.
Fuente: FRED
</t>
        </r>
      </text>
    </comment>
    <comment ref="B14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Índices de Precios, 2018=100, Datos Ajustados de Estacionalidad
Fuente: BCE</t>
        </r>
      </text>
    </comment>
  </commentList>
</comments>
</file>

<file path=xl/sharedStrings.xml><?xml version="1.0" encoding="utf-8"?>
<sst xmlns="http://schemas.openxmlformats.org/spreadsheetml/2006/main" count="225" uniqueCount="122">
  <si>
    <t xml:space="preserve">cod</t>
  </si>
  <si>
    <t xml:space="preserve">Variable</t>
  </si>
  <si>
    <t xml:space="preserve">Fuente</t>
  </si>
  <si>
    <t xml:space="preserve">Sector económico</t>
  </si>
  <si>
    <t xml:space="preserve">Unidad</t>
  </si>
  <si>
    <t xml:space="preserve">Agregación trimestre</t>
  </si>
  <si>
    <t xml:space="preserve">Comentarios</t>
  </si>
  <si>
    <t xml:space="preserve">v_1</t>
  </si>
  <si>
    <t xml:space="preserve">IPC Ecuador</t>
  </si>
  <si>
    <t xml:space="preserve">Promedio</t>
  </si>
  <si>
    <t xml:space="preserve">v_2</t>
  </si>
  <si>
    <t xml:space="preserve">IPC USA</t>
  </si>
  <si>
    <t xml:space="preserve">v_3</t>
  </si>
  <si>
    <t xml:space="preserve">Gastos (SPNF)</t>
  </si>
  <si>
    <t xml:space="preserve">Suma</t>
  </si>
  <si>
    <t xml:space="preserve">v_4</t>
  </si>
  <si>
    <t xml:space="preserve">Ingresos (SPNF)</t>
  </si>
  <si>
    <t xml:space="preserve">v_5</t>
  </si>
  <si>
    <t xml:space="preserve">Resultado global (SPNF)</t>
  </si>
  <si>
    <t xml:space="preserve">v_6</t>
  </si>
  <si>
    <t xml:space="preserve">Exportaciones totales</t>
  </si>
  <si>
    <t xml:space="preserve">v_7</t>
  </si>
  <si>
    <t xml:space="preserve">Importaciones totales</t>
  </si>
  <si>
    <t xml:space="preserve">v_8</t>
  </si>
  <si>
    <t xml:space="preserve">Balanza comercial</t>
  </si>
  <si>
    <t xml:space="preserve">v_9</t>
  </si>
  <si>
    <t xml:space="preserve">Precio petróleo WTI</t>
  </si>
  <si>
    <t xml:space="preserve">v_10</t>
  </si>
  <si>
    <t xml:space="preserve">Pib nominal (Millones USD)</t>
  </si>
  <si>
    <t xml:space="preserve">v_11</t>
  </si>
  <si>
    <t xml:space="preserve">Paridad precios EC-USA</t>
  </si>
  <si>
    <t xml:space="preserve">v_12</t>
  </si>
  <si>
    <t xml:space="preserve">Deflactor USA, sa, 100=2018</t>
  </si>
  <si>
    <t xml:space="preserve">v_13</t>
  </si>
  <si>
    <t xml:space="preserve">Deflactor PIB EC, sa</t>
  </si>
  <si>
    <t xml:space="preserve">v_14</t>
  </si>
  <si>
    <t xml:space="preserve">Deflactor PIB EC, sa, base 2014</t>
  </si>
  <si>
    <t xml:space="preserve">v_15</t>
  </si>
  <si>
    <t xml:space="preserve">IPC Ecuador, sa, 100=2014, PPP</t>
  </si>
  <si>
    <t xml:space="preserve">v_16</t>
  </si>
  <si>
    <t xml:space="preserve">IPC USA, sa, 100=2014</t>
  </si>
  <si>
    <t xml:space="preserve">v_17</t>
  </si>
  <si>
    <t xml:space="preserve">Deflactor PIB EC, sa, 100=dic2018, PPP</t>
  </si>
  <si>
    <t xml:space="preserve">v_18</t>
  </si>
  <si>
    <t xml:space="preserve">IPC Ecuador, sa, 100=2019, PPP</t>
  </si>
  <si>
    <t xml:space="preserve">v_19</t>
  </si>
  <si>
    <t xml:space="preserve">IPC USA, sa, 100=2019</t>
  </si>
  <si>
    <t xml:space="preserve">v_20</t>
  </si>
  <si>
    <t xml:space="preserve">Ingresos petroleros SPNF</t>
  </si>
  <si>
    <t xml:space="preserve">v_21</t>
  </si>
  <si>
    <t xml:space="preserve">Deflactor PIB GCFH, sa, 100=dic2018, PPP</t>
  </si>
  <si>
    <t xml:space="preserve">v_22</t>
  </si>
  <si>
    <t xml:space="preserve">PERS_CONS_DEF_USA_sa_dic2018</t>
  </si>
  <si>
    <t xml:space="preserve">v_23</t>
  </si>
  <si>
    <t xml:space="preserve">Exportaciones (bienes)</t>
  </si>
  <si>
    <t xml:space="preserve">v_24</t>
  </si>
  <si>
    <t xml:space="preserve">Importaciones (bienes)</t>
  </si>
  <si>
    <t xml:space="preserve">v_25</t>
  </si>
  <si>
    <t xml:space="preserve">Exportaciones (servicios)</t>
  </si>
  <si>
    <t xml:space="preserve">v_26</t>
  </si>
  <si>
    <t xml:space="preserve">Importaciones (servicios)</t>
  </si>
  <si>
    <t xml:space="preserve">v_27</t>
  </si>
  <si>
    <t xml:space="preserve">Exportaciones (bienes + servicios)</t>
  </si>
  <si>
    <t xml:space="preserve">v_28</t>
  </si>
  <si>
    <t xml:space="preserve">Importaciones (bienes + servicios)</t>
  </si>
  <si>
    <t xml:space="preserve">v_29</t>
  </si>
  <si>
    <t xml:space="preserve">Crédito (Renta recibida)</t>
  </si>
  <si>
    <t xml:space="preserve">v_30</t>
  </si>
  <si>
    <t xml:space="preserve">Débito (Renta pagada)</t>
  </si>
  <si>
    <t xml:space="preserve">v_31</t>
  </si>
  <si>
    <t xml:space="preserve">Crédito (transf. recibida)</t>
  </si>
  <si>
    <t xml:space="preserve">v_32</t>
  </si>
  <si>
    <t xml:space="preserve">Débito (transf. pagada)</t>
  </si>
  <si>
    <t xml:space="preserve">v_33</t>
  </si>
  <si>
    <t xml:space="preserve">Crédito (Transferencias de capital recibidas)</t>
  </si>
  <si>
    <t xml:space="preserve">v_34</t>
  </si>
  <si>
    <t xml:space="preserve">Debito (Transferencias de capital enviadas)</t>
  </si>
  <si>
    <t xml:space="preserve">v_35</t>
  </si>
  <si>
    <t xml:space="preserve">Total ingresos</t>
  </si>
  <si>
    <t xml:space="preserve">v_36</t>
  </si>
  <si>
    <t xml:space="preserve">Ingresos Petroleros</t>
  </si>
  <si>
    <t xml:space="preserve">v_37</t>
  </si>
  <si>
    <t xml:space="preserve">Ingresos no petroleros</t>
  </si>
  <si>
    <t xml:space="preserve">v_38</t>
  </si>
  <si>
    <t xml:space="preserve">Ingresos tributarios</t>
  </si>
  <si>
    <t xml:space="preserve">V_39</t>
  </si>
  <si>
    <t xml:space="preserve">IPC Ecuador 12/2010=100 PPP</t>
  </si>
  <si>
    <t xml:space="preserve">V_40</t>
  </si>
  <si>
    <t xml:space="preserve">CPI USA 12/2010=100 </t>
  </si>
  <si>
    <t xml:space="preserve">V_41</t>
  </si>
  <si>
    <t xml:space="preserve">PIB REAL ECU (1998=100)</t>
  </si>
  <si>
    <t xml:space="preserve">V_38</t>
  </si>
  <si>
    <t xml:space="preserve">date</t>
  </si>
  <si>
    <t xml:space="preserve">año</t>
  </si>
  <si>
    <t xml:space="preserve">mes</t>
  </si>
  <si>
    <t xml:space="preserve">fecha</t>
  </si>
  <si>
    <t xml:space="preserve">V_3 (P)</t>
  </si>
  <si>
    <t xml:space="preserve">V_4(P)</t>
  </si>
  <si>
    <t xml:space="preserve">V_3/V_4</t>
  </si>
  <si>
    <t xml:space="preserve">V_3/V_10</t>
  </si>
  <si>
    <t xml:space="preserve">V_42</t>
  </si>
  <si>
    <t xml:space="preserve">Cuenta Corriente</t>
  </si>
  <si>
    <t xml:space="preserve">Balanza Comercial</t>
  </si>
  <si>
    <t xml:space="preserve">ingres sec</t>
  </si>
  <si>
    <t xml:space="preserve"> </t>
  </si>
  <si>
    <t xml:space="preserve">gasto_2</t>
  </si>
  <si>
    <t xml:space="preserve">gasto_3</t>
  </si>
  <si>
    <t xml:space="preserve">log1</t>
  </si>
  <si>
    <t xml:space="preserve">log2</t>
  </si>
  <si>
    <t xml:space="preserve">x -m (bienes+servicios)</t>
  </si>
  <si>
    <t xml:space="preserve">Balanza de servicios</t>
  </si>
  <si>
    <t xml:space="preserve">x-m (servicios</t>
  </si>
  <si>
    <t xml:space="preserve">Ingreso primario (rentas)</t>
  </si>
  <si>
    <t xml:space="preserve">recibida - pagada, credito - debito</t>
  </si>
  <si>
    <t xml:space="preserve">Ingreso secundario (TRANSFERENCIAS CORRIENTES)</t>
  </si>
  <si>
    <t xml:space="preserve">trans recibida - trans pagada, credito - debito</t>
  </si>
  <si>
    <t xml:space="preserve">Cuenta corriente</t>
  </si>
  <si>
    <t xml:space="preserve">balanza comercial + ing. Prim + ing. Secun</t>
  </si>
  <si>
    <t xml:space="preserve">Cuenta de capital</t>
  </si>
  <si>
    <t xml:space="preserve">Crédito (Transferencias de capital recibidas) - Debito (Transferencias de capital enviadas)</t>
  </si>
  <si>
    <t xml:space="preserve">Cuenta financiera</t>
  </si>
  <si>
    <t xml:space="preserve">(cambio de manual, valores negativos en cuentas)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</si>
</sst>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 * #,##0.00_ ;_ * \-#,##0.00_ ;_ * \-??_ ;_ @_ "/>
    <numFmt numFmtId="166" formatCode="mmm\-yy"/>
    <numFmt numFmtId="167" formatCode="#0.0"/>
    <numFmt numFmtId="168" formatCode="#0.000"/>
    <numFmt numFmtId="169" formatCode="m/d/yyyy"/>
    <numFmt numFmtId="170" formatCode="General"/>
  </numFmts>
  <fonts count="1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Aptos Narrow"/>
      <family val="2"/>
      <charset val="1"/>
    </font>
    <font>
      <b val="true"/>
      <sz val="11"/>
      <name val="Calibri"/>
      <family val="2"/>
      <charset val="1"/>
    </font>
    <font>
      <sz val="10"/>
      <name val="Arial"/>
      <family val="2"/>
    </font>
    <font>
      <b val="true"/>
      <sz val="12"/>
      <name val="Aptos Narrow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11"/>
      <color rgb="FFC9211E"/>
      <name val="Aptos Narrow"/>
      <family val="2"/>
      <charset val="1"/>
    </font>
    <font>
      <sz val="10"/>
      <color rgb="FFC9211E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/>
        <bgColor rgb="FFBBBE64"/>
      </patternFill>
    </fill>
    <fill>
      <patternFill patternType="solid">
        <fgColor theme="6"/>
        <bgColor rgb="FFEFCB68"/>
      </patternFill>
    </fill>
    <fill>
      <patternFill patternType="solid">
        <fgColor theme="5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NCLAS,REZONES Y SUS PARTES,DE FUNDICION,DE HIERRO O DE ACERO" xfId="20"/>
    <cellStyle name="Millares 3" xfId="21"/>
    <cellStyle name="Normal 2" xfId="22"/>
    <cellStyle name="Normal 3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E6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CB68"/>
      <rgbColor rgb="FF3366FF"/>
      <rgbColor rgb="FF33CCCC"/>
      <rgbColor rgb="FF99CC00"/>
      <rgbColor rgb="FFFFCC00"/>
      <rgbColor rgb="FFFF9900"/>
      <rgbColor rgb="FFFF6600"/>
      <rgbColor rgb="FF666699"/>
      <rgbColor rgb="FF5FA3BF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Paleta BCE">
      <a:dk1>
        <a:srgbClr val="000000"/>
      </a:dk1>
      <a:lt1>
        <a:srgbClr val="ffffff"/>
      </a:lt1>
      <a:dk2>
        <a:srgbClr val="2a4b9b"/>
      </a:dk2>
      <a:lt2>
        <a:srgbClr val="e7e6e6"/>
      </a:lt2>
      <a:accent1>
        <a:srgbClr val="1e4976"/>
      </a:accent1>
      <a:accent2>
        <a:srgbClr val="5fa3bf"/>
      </a:accent2>
      <a:accent3>
        <a:srgbClr val="bbbe64"/>
      </a:accent3>
      <a:accent4>
        <a:srgbClr val="efcb68"/>
      </a:accent4>
      <a:accent5>
        <a:srgbClr val="e5825e"/>
      </a:accent5>
      <a:accent6>
        <a:srgbClr val="ef936c"/>
      </a:accent6>
      <a:hlink>
        <a:srgbClr val="aa767c"/>
      </a:hlink>
      <a:folHlink>
        <a:srgbClr val="cdaca1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1" sqref="H15:H82 B5"/>
    </sheetView>
  </sheetViews>
  <sheetFormatPr defaultColWidth="11.4296875" defaultRowHeight="15" zeroHeight="false" outlineLevelRow="0" outlineLevelCol="0"/>
  <cols>
    <col collapsed="false" customWidth="true" hidden="false" outlineLevel="0" max="2" min="2" style="1" width="34.7"/>
    <col collapsed="false" customWidth="true" hidden="false" outlineLevel="0" max="4" min="4" style="1" width="16.86"/>
    <col collapsed="false" customWidth="true" hidden="false" outlineLevel="0" max="6" min="6" style="1" width="19.72"/>
    <col collapsed="false" customWidth="true" hidden="false" outlineLevel="0" max="7" min="7" style="1" width="12.2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F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F3" s="1" t="s">
        <v>9</v>
      </c>
    </row>
    <row r="4" customFormat="false" ht="15" hidden="false" customHeight="false" outlineLevel="0" collapsed="false">
      <c r="A4" s="1" t="s">
        <v>12</v>
      </c>
      <c r="B4" s="1" t="s">
        <v>13</v>
      </c>
      <c r="F4" s="1" t="s">
        <v>14</v>
      </c>
    </row>
    <row r="5" customFormat="false" ht="15" hidden="false" customHeight="false" outlineLevel="0" collapsed="false">
      <c r="A5" s="1" t="s">
        <v>15</v>
      </c>
      <c r="B5" s="1" t="s">
        <v>16</v>
      </c>
      <c r="F5" s="1" t="s">
        <v>14</v>
      </c>
    </row>
    <row r="6" customFormat="false" ht="15" hidden="false" customHeight="false" outlineLevel="0" collapsed="false">
      <c r="A6" s="1" t="s">
        <v>17</v>
      </c>
      <c r="B6" s="1" t="s">
        <v>18</v>
      </c>
      <c r="F6" s="1" t="s">
        <v>14</v>
      </c>
    </row>
    <row r="7" customFormat="false" ht="15" hidden="false" customHeight="false" outlineLevel="0" collapsed="false">
      <c r="A7" s="1" t="s">
        <v>19</v>
      </c>
      <c r="B7" s="1" t="s">
        <v>20</v>
      </c>
      <c r="F7" s="1" t="s">
        <v>14</v>
      </c>
    </row>
    <row r="8" customFormat="false" ht="15" hidden="false" customHeight="false" outlineLevel="0" collapsed="false">
      <c r="A8" s="1" t="s">
        <v>21</v>
      </c>
      <c r="B8" s="1" t="s">
        <v>22</v>
      </c>
      <c r="F8" s="1" t="s">
        <v>14</v>
      </c>
    </row>
    <row r="9" customFormat="false" ht="15" hidden="false" customHeight="false" outlineLevel="0" collapsed="false">
      <c r="A9" s="1" t="s">
        <v>23</v>
      </c>
      <c r="B9" s="1" t="s">
        <v>24</v>
      </c>
      <c r="F9" s="1" t="s">
        <v>14</v>
      </c>
    </row>
    <row r="10" customFormat="false" ht="15" hidden="false" customHeight="false" outlineLevel="0" collapsed="false">
      <c r="A10" s="1" t="s">
        <v>25</v>
      </c>
      <c r="B10" s="1" t="s">
        <v>26</v>
      </c>
      <c r="F10" s="1" t="s">
        <v>9</v>
      </c>
    </row>
    <row r="11" customFormat="false" ht="15" hidden="false" customHeight="false" outlineLevel="0" collapsed="false">
      <c r="A11" s="1" t="s">
        <v>27</v>
      </c>
      <c r="B11" s="1" t="s">
        <v>28</v>
      </c>
    </row>
    <row r="12" customFormat="false" ht="15" hidden="false" customHeight="false" outlineLevel="0" collapsed="false">
      <c r="A12" s="1" t="s">
        <v>29</v>
      </c>
      <c r="B12" s="1" t="s">
        <v>30</v>
      </c>
    </row>
    <row r="13" customFormat="false" ht="15" hidden="false" customHeight="false" outlineLevel="0" collapsed="false">
      <c r="A13" s="1" t="s">
        <v>31</v>
      </c>
      <c r="B13" s="1" t="s">
        <v>32</v>
      </c>
    </row>
    <row r="14" customFormat="false" ht="15" hidden="false" customHeight="false" outlineLevel="0" collapsed="false">
      <c r="A14" s="1" t="s">
        <v>33</v>
      </c>
      <c r="B14" s="1" t="s">
        <v>34</v>
      </c>
    </row>
    <row r="15" customFormat="false" ht="15" hidden="false" customHeight="false" outlineLevel="0" collapsed="false">
      <c r="A15" s="1" t="s">
        <v>35</v>
      </c>
      <c r="B15" s="1" t="s">
        <v>36</v>
      </c>
    </row>
    <row r="16" customFormat="false" ht="15" hidden="false" customHeight="false" outlineLevel="0" collapsed="false">
      <c r="A16" s="1" t="s">
        <v>37</v>
      </c>
      <c r="B16" s="1" t="s">
        <v>38</v>
      </c>
    </row>
    <row r="17" customFormat="false" ht="15" hidden="false" customHeight="false" outlineLevel="0" collapsed="false">
      <c r="A17" s="1" t="s">
        <v>39</v>
      </c>
      <c r="B17" s="1" t="s">
        <v>40</v>
      </c>
    </row>
    <row r="18" customFormat="false" ht="15" hidden="false" customHeight="false" outlineLevel="0" collapsed="false">
      <c r="A18" s="1" t="s">
        <v>41</v>
      </c>
      <c r="B18" s="1" t="s">
        <v>42</v>
      </c>
    </row>
    <row r="19" customFormat="false" ht="15" hidden="false" customHeight="false" outlineLevel="0" collapsed="false">
      <c r="A19" s="1" t="s">
        <v>43</v>
      </c>
      <c r="B19" s="1" t="s">
        <v>44</v>
      </c>
    </row>
    <row r="20" customFormat="false" ht="15" hidden="false" customHeight="false" outlineLevel="0" collapsed="false">
      <c r="A20" s="1" t="s">
        <v>45</v>
      </c>
      <c r="B20" s="1" t="s">
        <v>46</v>
      </c>
    </row>
    <row r="21" customFormat="false" ht="15" hidden="false" customHeight="false" outlineLevel="0" collapsed="false">
      <c r="A21" s="1" t="s">
        <v>47</v>
      </c>
      <c r="B21" s="1" t="s">
        <v>48</v>
      </c>
    </row>
    <row r="22" customFormat="false" ht="15" hidden="false" customHeight="false" outlineLevel="0" collapsed="false">
      <c r="A22" s="1" t="s">
        <v>49</v>
      </c>
      <c r="B22" s="1" t="s">
        <v>50</v>
      </c>
    </row>
    <row r="23" customFormat="false" ht="15" hidden="false" customHeight="false" outlineLevel="0" collapsed="false">
      <c r="A23" s="1" t="s">
        <v>51</v>
      </c>
      <c r="B23" s="1" t="s">
        <v>52</v>
      </c>
    </row>
    <row r="24" customFormat="false" ht="15" hidden="false" customHeight="false" outlineLevel="0" collapsed="false">
      <c r="A24" s="1" t="s">
        <v>53</v>
      </c>
      <c r="B24" s="1" t="s">
        <v>54</v>
      </c>
    </row>
    <row r="25" customFormat="false" ht="15" hidden="false" customHeight="false" outlineLevel="0" collapsed="false">
      <c r="A25" s="1" t="s">
        <v>55</v>
      </c>
      <c r="B25" s="1" t="s">
        <v>56</v>
      </c>
    </row>
    <row r="26" customFormat="false" ht="15" hidden="false" customHeight="false" outlineLevel="0" collapsed="false">
      <c r="A26" s="1" t="s">
        <v>57</v>
      </c>
      <c r="B26" s="1" t="s">
        <v>58</v>
      </c>
    </row>
    <row r="27" customFormat="false" ht="15" hidden="false" customHeight="false" outlineLevel="0" collapsed="false">
      <c r="A27" s="1" t="s">
        <v>59</v>
      </c>
      <c r="B27" s="1" t="s">
        <v>60</v>
      </c>
    </row>
    <row r="28" customFormat="false" ht="15" hidden="false" customHeight="false" outlineLevel="0" collapsed="false">
      <c r="A28" s="1" t="s">
        <v>61</v>
      </c>
      <c r="B28" s="1" t="s">
        <v>62</v>
      </c>
    </row>
    <row r="29" customFormat="false" ht="15" hidden="false" customHeight="false" outlineLevel="0" collapsed="false">
      <c r="A29" s="1" t="s">
        <v>63</v>
      </c>
      <c r="B29" s="1" t="s">
        <v>64</v>
      </c>
    </row>
    <row r="30" customFormat="false" ht="15" hidden="false" customHeight="false" outlineLevel="0" collapsed="false">
      <c r="A30" s="1" t="s">
        <v>65</v>
      </c>
      <c r="B30" s="1" t="s">
        <v>66</v>
      </c>
    </row>
    <row r="31" customFormat="false" ht="15" hidden="false" customHeight="false" outlineLevel="0" collapsed="false">
      <c r="A31" s="1" t="s">
        <v>67</v>
      </c>
      <c r="B31" s="1" t="s">
        <v>68</v>
      </c>
    </row>
    <row r="32" customFormat="false" ht="15" hidden="false" customHeight="false" outlineLevel="0" collapsed="false">
      <c r="A32" s="1" t="s">
        <v>69</v>
      </c>
      <c r="B32" s="1" t="s">
        <v>70</v>
      </c>
    </row>
    <row r="33" customFormat="false" ht="15" hidden="false" customHeight="false" outlineLevel="0" collapsed="false">
      <c r="A33" s="1" t="s">
        <v>71</v>
      </c>
      <c r="B33" s="1" t="s">
        <v>72</v>
      </c>
    </row>
    <row r="34" customFormat="false" ht="15" hidden="false" customHeight="false" outlineLevel="0" collapsed="false">
      <c r="A34" s="1" t="s">
        <v>73</v>
      </c>
      <c r="B34" s="1" t="s">
        <v>74</v>
      </c>
    </row>
    <row r="35" customFormat="false" ht="15" hidden="false" customHeight="false" outlineLevel="0" collapsed="false">
      <c r="A35" s="1" t="s">
        <v>75</v>
      </c>
      <c r="B35" s="1" t="s">
        <v>76</v>
      </c>
    </row>
    <row r="36" customFormat="false" ht="15" hidden="false" customHeight="false" outlineLevel="0" collapsed="false">
      <c r="A36" s="1" t="s">
        <v>77</v>
      </c>
      <c r="B36" s="1" t="s">
        <v>78</v>
      </c>
    </row>
    <row r="37" customFormat="false" ht="15" hidden="false" customHeight="false" outlineLevel="0" collapsed="false">
      <c r="A37" s="1" t="s">
        <v>79</v>
      </c>
      <c r="B37" s="1" t="s">
        <v>80</v>
      </c>
    </row>
    <row r="38" customFormat="false" ht="15" hidden="false" customHeight="false" outlineLevel="0" collapsed="false">
      <c r="A38" s="1" t="s">
        <v>81</v>
      </c>
      <c r="B38" s="1" t="s">
        <v>82</v>
      </c>
    </row>
    <row r="39" customFormat="false" ht="15" hidden="false" customHeight="false" outlineLevel="0" collapsed="false">
      <c r="A39" s="1" t="s">
        <v>83</v>
      </c>
      <c r="B39" s="1" t="s">
        <v>84</v>
      </c>
    </row>
    <row r="40" customFormat="false" ht="15" hidden="false" customHeight="false" outlineLevel="0" collapsed="false">
      <c r="A40" s="1" t="s">
        <v>85</v>
      </c>
      <c r="B40" s="1" t="s">
        <v>86</v>
      </c>
    </row>
    <row r="41" customFormat="false" ht="15" hidden="false" customHeight="false" outlineLevel="0" collapsed="false">
      <c r="A41" s="1" t="s">
        <v>87</v>
      </c>
      <c r="B41" s="1" t="s">
        <v>88</v>
      </c>
    </row>
    <row r="42" customFormat="false" ht="15" hidden="false" customHeight="false" outlineLevel="0" collapsed="false">
      <c r="A42" s="1" t="s">
        <v>89</v>
      </c>
      <c r="B42" s="1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96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1" ySplit="1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D33" activeCellId="1" sqref="H15:H82 D33"/>
    </sheetView>
  </sheetViews>
  <sheetFormatPr defaultColWidth="11.4296875" defaultRowHeight="15" zeroHeight="false" outlineLevelRow="0" outlineLevelCol="0"/>
  <cols>
    <col collapsed="false" customWidth="true" hidden="false" outlineLevel="0" max="4" min="4" style="1" width="13.57"/>
    <col collapsed="false" customWidth="true" hidden="false" outlineLevel="0" max="5" min="5" style="1" width="16.57"/>
    <col collapsed="false" customWidth="true" hidden="false" outlineLevel="0" max="6" min="6" style="1" width="22.57"/>
    <col collapsed="false" customWidth="true" hidden="false" outlineLevel="0" max="7" min="7" style="1" width="13.43"/>
    <col collapsed="false" customWidth="true" hidden="false" outlineLevel="0" max="8" min="8" style="1" width="13.86"/>
    <col collapsed="false" customWidth="true" hidden="false" outlineLevel="0" max="9" min="9" style="1" width="17.57"/>
    <col collapsed="false" customWidth="true" hidden="false" outlineLevel="0" max="12" min="12" style="1" width="13.43"/>
    <col collapsed="false" customWidth="true" hidden="false" outlineLevel="0" max="13" min="13" style="1" width="20.29"/>
    <col collapsed="false" customWidth="true" hidden="false" outlineLevel="0" max="15" min="14" style="1" width="13.43"/>
    <col collapsed="false" customWidth="true" hidden="false" outlineLevel="0" max="16" min="16" style="1" width="20.29"/>
    <col collapsed="false" customWidth="true" hidden="false" outlineLevel="0" max="17" min="17" style="1" width="23.15"/>
    <col collapsed="false" customWidth="true" hidden="false" outlineLevel="0" max="18" min="18" style="1" width="18.86"/>
    <col collapsed="false" customWidth="true" hidden="false" outlineLevel="0" max="19" min="19" style="1" width="21.57"/>
  </cols>
  <sheetData>
    <row r="1" customFormat="false" ht="15" hidden="false" customHeight="false" outlineLevel="0" collapsed="false">
      <c r="B1" s="3" t="s">
        <v>7</v>
      </c>
      <c r="C1" s="3" t="s">
        <v>10</v>
      </c>
      <c r="D1" s="3" t="s">
        <v>12</v>
      </c>
      <c r="E1" s="3" t="s">
        <v>15</v>
      </c>
      <c r="F1" s="3" t="s">
        <v>17</v>
      </c>
      <c r="G1" s="3" t="s">
        <v>19</v>
      </c>
      <c r="H1" s="3" t="s">
        <v>21</v>
      </c>
      <c r="I1" s="3" t="s">
        <v>23</v>
      </c>
      <c r="J1" s="3" t="s">
        <v>25</v>
      </c>
      <c r="K1" s="3" t="s">
        <v>29</v>
      </c>
      <c r="L1" s="3" t="s">
        <v>91</v>
      </c>
      <c r="M1" s="3" t="s">
        <v>85</v>
      </c>
      <c r="O1" s="3" t="s">
        <v>78</v>
      </c>
      <c r="P1" s="4" t="s">
        <v>80</v>
      </c>
      <c r="Q1" s="4" t="s">
        <v>82</v>
      </c>
      <c r="R1" s="3" t="s">
        <v>84</v>
      </c>
    </row>
    <row r="2" customFormat="false" ht="15" hidden="false" customHeight="false" outlineLevel="0" collapsed="false">
      <c r="A2" s="5" t="n">
        <v>36404</v>
      </c>
      <c r="P2" s="4"/>
      <c r="Q2" s="4"/>
    </row>
    <row r="3" customFormat="false" ht="15" hidden="false" customHeight="false" outlineLevel="0" collapsed="false">
      <c r="A3" s="5" t="n">
        <v>36434</v>
      </c>
      <c r="B3" s="6" t="n">
        <v>21.558463938231</v>
      </c>
      <c r="C3" s="7" t="n">
        <v>168.2</v>
      </c>
      <c r="L3" s="3" t="n">
        <f aca="false">B3*54.2221/B$137</f>
        <v>13.577413172509</v>
      </c>
      <c r="M3" s="3" t="n">
        <f aca="false">C3*100/C$137</f>
        <v>76.7409286473613</v>
      </c>
      <c r="N3" s="3" t="n">
        <f aca="false">L3/M3</f>
        <v>0.176925317582482</v>
      </c>
      <c r="P3" s="4"/>
      <c r="Q3" s="4"/>
    </row>
    <row r="4" customFormat="false" ht="15" hidden="false" customHeight="false" outlineLevel="0" collapsed="false">
      <c r="A4" s="5" t="n">
        <v>36465</v>
      </c>
      <c r="B4" s="6" t="n">
        <v>22.9345361045014</v>
      </c>
      <c r="C4" s="7" t="n">
        <v>168.3</v>
      </c>
      <c r="L4" s="3" t="n">
        <f aca="false">B4*54.2221/B$137</f>
        <v>14.4440565664991</v>
      </c>
      <c r="M4" s="3" t="n">
        <f aca="false">C4*100/C$137</f>
        <v>76.7865534563074</v>
      </c>
      <c r="N4" s="3" t="n">
        <f aca="false">L4/M4</f>
        <v>0.188106587890001</v>
      </c>
      <c r="P4" s="4"/>
      <c r="Q4" s="4"/>
    </row>
    <row r="5" customFormat="false" ht="15" hidden="false" customHeight="false" outlineLevel="0" collapsed="false">
      <c r="A5" s="5" t="n">
        <v>36495</v>
      </c>
      <c r="B5" s="6" t="n">
        <v>24.2134737649198</v>
      </c>
      <c r="C5" s="7" t="n">
        <v>168.3</v>
      </c>
      <c r="L5" s="3" t="n">
        <f aca="false">B5*54.2221/B$137</f>
        <v>15.2495251326797</v>
      </c>
      <c r="M5" s="3" t="n">
        <f aca="false">C5*100/C$137</f>
        <v>76.7865534563074</v>
      </c>
      <c r="N5" s="3" t="n">
        <f aca="false">L5/M5</f>
        <v>0.198596296438241</v>
      </c>
      <c r="P5" s="4"/>
      <c r="Q5" s="4"/>
    </row>
    <row r="6" customFormat="false" ht="15" hidden="false" customHeight="false" outlineLevel="0" collapsed="false">
      <c r="A6" s="5" t="n">
        <v>36526</v>
      </c>
      <c r="B6" s="6" t="n">
        <v>27.6844134407808</v>
      </c>
      <c r="C6" s="7" t="n">
        <v>168.8</v>
      </c>
      <c r="L6" s="3" t="n">
        <f aca="false">B6*54.2221/B$137</f>
        <v>17.4355056464606</v>
      </c>
      <c r="M6" s="3" t="n">
        <f aca="false">C6*100/C$137</f>
        <v>77.014677501038</v>
      </c>
      <c r="N6" s="3" t="n">
        <f aca="false">L6/M6</f>
        <v>0.226391984128293</v>
      </c>
      <c r="P6" s="4"/>
      <c r="Q6" s="4"/>
    </row>
    <row r="7" customFormat="false" ht="15" hidden="false" customHeight="false" outlineLevel="0" collapsed="false">
      <c r="A7" s="5" t="n">
        <v>36557</v>
      </c>
      <c r="B7" s="6" t="n">
        <v>30.4624603082105</v>
      </c>
      <c r="C7" s="7" t="n">
        <v>169.8</v>
      </c>
      <c r="L7" s="3" t="n">
        <f aca="false">B7*54.2221/B$137</f>
        <v>19.1851057218536</v>
      </c>
      <c r="M7" s="3" t="n">
        <f aca="false">C7*100/C$137</f>
        <v>77.4709255904991</v>
      </c>
      <c r="N7" s="3" t="n">
        <f aca="false">L7/M7</f>
        <v>0.247642655300951</v>
      </c>
      <c r="P7" s="4"/>
      <c r="Q7" s="4"/>
    </row>
    <row r="8" customFormat="false" ht="15" hidden="false" customHeight="false" outlineLevel="0" collapsed="false">
      <c r="A8" s="5" t="n">
        <v>36586</v>
      </c>
      <c r="B8" s="6" t="n">
        <v>32.7667066415387</v>
      </c>
      <c r="C8" s="7" t="n">
        <v>171.2</v>
      </c>
      <c r="L8" s="3" t="n">
        <f aca="false">B8*54.2221/B$137</f>
        <v>20.636308581597</v>
      </c>
      <c r="M8" s="3" t="n">
        <f aca="false">C8*100/C$137</f>
        <v>78.1096729157447</v>
      </c>
      <c r="N8" s="3" t="n">
        <f aca="false">L8/M8</f>
        <v>0.264196581694267</v>
      </c>
      <c r="P8" s="4"/>
      <c r="Q8" s="4"/>
    </row>
    <row r="9" customFormat="false" ht="15" hidden="false" customHeight="false" outlineLevel="0" collapsed="false">
      <c r="A9" s="5" t="n">
        <v>36617</v>
      </c>
      <c r="B9" s="6" t="n">
        <v>36.1124507320731</v>
      </c>
      <c r="C9" s="7" t="n">
        <v>171.3</v>
      </c>
      <c r="L9" s="3" t="n">
        <f aca="false">B9*54.2221/B$137</f>
        <v>22.7434415395304</v>
      </c>
      <c r="M9" s="3" t="n">
        <f aca="false">C9*100/C$137</f>
        <v>78.1552977246908</v>
      </c>
      <c r="N9" s="3" t="n">
        <f aca="false">L9/M9</f>
        <v>0.291003197501036</v>
      </c>
      <c r="P9" s="4"/>
      <c r="Q9" s="4"/>
    </row>
    <row r="10" customFormat="false" ht="15" hidden="false" customHeight="false" outlineLevel="0" collapsed="false">
      <c r="A10" s="5" t="n">
        <v>36647</v>
      </c>
      <c r="B10" s="6" t="n">
        <v>37.9687990661822</v>
      </c>
      <c r="C10" s="7" t="n">
        <v>171.5</v>
      </c>
      <c r="L10" s="3" t="n">
        <f aca="false">B10*54.2221/B$137</f>
        <v>23.9125604710328</v>
      </c>
      <c r="M10" s="3" t="n">
        <f aca="false">C10*100/C$137</f>
        <v>78.246547342583</v>
      </c>
      <c r="N10" s="3" t="n">
        <f aca="false">L10/M10</f>
        <v>0.305605311456589</v>
      </c>
      <c r="P10" s="4"/>
      <c r="Q10" s="4"/>
    </row>
    <row r="11" customFormat="false" ht="15" hidden="false" customHeight="false" outlineLevel="0" collapsed="false">
      <c r="A11" s="5" t="n">
        <v>36678</v>
      </c>
      <c r="B11" s="6" t="n">
        <v>39.9870382433756</v>
      </c>
      <c r="C11" s="7" t="n">
        <v>172.4</v>
      </c>
      <c r="L11" s="3" t="n">
        <f aca="false">B11*54.2221/B$137</f>
        <v>25.183637448883</v>
      </c>
      <c r="M11" s="3" t="n">
        <f aca="false">C11*100/C$137</f>
        <v>78.657170623098</v>
      </c>
      <c r="N11" s="3" t="n">
        <f aca="false">L11/M11</f>
        <v>0.320169632970344</v>
      </c>
      <c r="P11" s="4"/>
      <c r="Q11" s="4"/>
    </row>
    <row r="12" customFormat="false" ht="15" hidden="false" customHeight="false" outlineLevel="0" collapsed="false">
      <c r="A12" s="5" t="n">
        <v>36708</v>
      </c>
      <c r="B12" s="6" t="n">
        <v>40.935718583888</v>
      </c>
      <c r="C12" s="7" t="n">
        <v>172.8</v>
      </c>
      <c r="L12" s="3" t="n">
        <f aca="false">B12*54.2221/B$137</f>
        <v>25.7811116005053</v>
      </c>
      <c r="M12" s="3" t="n">
        <f aca="false">C12*100/C$137</f>
        <v>78.8396698588825</v>
      </c>
      <c r="N12" s="3" t="n">
        <f aca="false">L12/M12</f>
        <v>0.327006843720321</v>
      </c>
      <c r="P12" s="4"/>
      <c r="Q12" s="4"/>
    </row>
    <row r="13" customFormat="false" ht="15" hidden="false" customHeight="false" outlineLevel="0" collapsed="false">
      <c r="A13" s="5" t="n">
        <v>36739</v>
      </c>
      <c r="B13" s="6" t="n">
        <v>41.4926230841174</v>
      </c>
      <c r="C13" s="7" t="n">
        <v>172.8</v>
      </c>
      <c r="L13" s="3" t="n">
        <f aca="false">B13*54.2221/B$137</f>
        <v>26.1318472799539</v>
      </c>
      <c r="M13" s="3" t="n">
        <f aca="false">C13*100/C$137</f>
        <v>78.8396698588825</v>
      </c>
      <c r="N13" s="3" t="n">
        <f aca="false">L13/M13</f>
        <v>0.331455564523902</v>
      </c>
      <c r="P13" s="4"/>
      <c r="Q13" s="4"/>
    </row>
    <row r="14" customFormat="false" ht="15" hidden="false" customHeight="false" outlineLevel="0" collapsed="false">
      <c r="A14" s="5" t="n">
        <v>36770</v>
      </c>
      <c r="B14" s="6" t="n">
        <v>43.0197933706101</v>
      </c>
      <c r="C14" s="7" t="n">
        <v>173.7</v>
      </c>
      <c r="L14" s="3" t="n">
        <f aca="false">B14*54.2221/B$137</f>
        <v>27.0936515172085</v>
      </c>
      <c r="M14" s="3" t="n">
        <f aca="false">C14*100/C$137</f>
        <v>79.2502931393975</v>
      </c>
      <c r="N14" s="3" t="n">
        <f aca="false">L14/M14</f>
        <v>0.341874464357526</v>
      </c>
      <c r="P14" s="4"/>
      <c r="Q14" s="4"/>
    </row>
    <row r="15" customFormat="false" ht="15" hidden="false" customHeight="false" outlineLevel="0" collapsed="false">
      <c r="A15" s="5" t="n">
        <v>36800</v>
      </c>
      <c r="B15" s="6" t="n">
        <v>44.1800110794257</v>
      </c>
      <c r="C15" s="7" t="n">
        <v>174</v>
      </c>
      <c r="L15" s="3" t="n">
        <f aca="false">B15*54.2221/B$137</f>
        <v>27.8243508493959</v>
      </c>
      <c r="M15" s="3" t="n">
        <f aca="false">C15*100/C$137</f>
        <v>79.3871675662358</v>
      </c>
      <c r="N15" s="3" t="n">
        <f aca="false">L15/M15</f>
        <v>0.350489275564353</v>
      </c>
      <c r="P15" s="4"/>
      <c r="Q15" s="4"/>
    </row>
    <row r="16" customFormat="false" ht="15" hidden="false" customHeight="false" outlineLevel="0" collapsed="false">
      <c r="A16" s="5" t="n">
        <v>36831</v>
      </c>
      <c r="B16" s="6" t="n">
        <v>45.1351670536554</v>
      </c>
      <c r="C16" s="7" t="n">
        <v>174.1</v>
      </c>
      <c r="L16" s="3" t="n">
        <f aca="false">B16*54.2221/B$137</f>
        <v>28.4259033228682</v>
      </c>
      <c r="M16" s="3" t="n">
        <f aca="false">C16*100/C$137</f>
        <v>79.4327923751819</v>
      </c>
      <c r="N16" s="3" t="n">
        <f aca="false">L16/M16</f>
        <v>0.357861060563063</v>
      </c>
      <c r="P16" s="4"/>
      <c r="Q16" s="4"/>
    </row>
    <row r="17" customFormat="false" ht="15" hidden="false" customHeight="false" outlineLevel="0" collapsed="false">
      <c r="A17" s="5" t="n">
        <v>36861</v>
      </c>
      <c r="B17" s="6" t="n">
        <v>46.2468175095484</v>
      </c>
      <c r="C17" s="7" t="n">
        <v>174</v>
      </c>
      <c r="L17" s="3" t="n">
        <f aca="false">B17*54.2221/B$137</f>
        <v>29.1260152411529</v>
      </c>
      <c r="M17" s="3" t="n">
        <f aca="false">C17*100/C$137</f>
        <v>79.3871675662358</v>
      </c>
      <c r="N17" s="3" t="n">
        <f aca="false">L17/M17</f>
        <v>0.366885683594291</v>
      </c>
      <c r="P17" s="4"/>
      <c r="Q17" s="4"/>
    </row>
    <row r="18" customFormat="false" ht="15" hidden="false" customHeight="false" outlineLevel="0" collapsed="false">
      <c r="A18" s="5" t="n">
        <v>36892</v>
      </c>
      <c r="B18" s="6" t="n">
        <v>49.4684452870524</v>
      </c>
      <c r="C18" s="7" t="n">
        <v>175.1</v>
      </c>
      <c r="L18" s="3" t="n">
        <f aca="false">B18*54.2221/B$137</f>
        <v>31.1549803635536</v>
      </c>
      <c r="M18" s="3" t="n">
        <f aca="false">C18*100/C$137</f>
        <v>79.8890404646431</v>
      </c>
      <c r="N18" s="3" t="n">
        <f aca="false">L18/M18</f>
        <v>0.389978151976203</v>
      </c>
      <c r="P18" s="4"/>
      <c r="Q18" s="4"/>
    </row>
    <row r="19" customFormat="false" ht="15" hidden="false" customHeight="false" outlineLevel="0" collapsed="false">
      <c r="A19" s="5" t="n">
        <v>36923</v>
      </c>
      <c r="B19" s="6" t="n">
        <v>50.9092737905552</v>
      </c>
      <c r="C19" s="7" t="n">
        <v>175.8</v>
      </c>
      <c r="L19" s="3" t="n">
        <f aca="false">B19*54.2221/B$137</f>
        <v>32.062406976082</v>
      </c>
      <c r="M19" s="3" t="n">
        <f aca="false">C19*100/C$137</f>
        <v>80.2084141272658</v>
      </c>
      <c r="N19" s="3" t="n">
        <f aca="false">L19/M19</f>
        <v>0.399738697304362</v>
      </c>
      <c r="P19" s="4"/>
      <c r="Q19" s="4"/>
    </row>
    <row r="20" customFormat="false" ht="15" hidden="false" customHeight="false" outlineLevel="0" collapsed="false">
      <c r="A20" s="5" t="n">
        <v>36951</v>
      </c>
      <c r="B20" s="6" t="n">
        <v>52.0263206078825</v>
      </c>
      <c r="C20" s="7" t="n">
        <v>176.2</v>
      </c>
      <c r="L20" s="3" t="n">
        <f aca="false">B20*54.2221/B$137</f>
        <v>32.7659174959106</v>
      </c>
      <c r="M20" s="3" t="n">
        <f aca="false">C20*100/C$137</f>
        <v>80.3909133630503</v>
      </c>
      <c r="N20" s="3" t="n">
        <f aca="false">L20/M20</f>
        <v>0.407582351352791</v>
      </c>
      <c r="P20" s="4"/>
      <c r="Q20" s="4"/>
    </row>
    <row r="21" customFormat="false" ht="15" hidden="false" customHeight="false" outlineLevel="0" collapsed="false">
      <c r="A21" s="5" t="n">
        <v>36982</v>
      </c>
      <c r="B21" s="6" t="n">
        <v>52.9221166063142</v>
      </c>
      <c r="C21" s="7" t="n">
        <v>176.9</v>
      </c>
      <c r="L21" s="3" t="n">
        <f aca="false">B21*54.2221/B$137</f>
        <v>33.3300853523884</v>
      </c>
      <c r="M21" s="3" t="n">
        <f aca="false">C21*100/C$137</f>
        <v>80.7102870256731</v>
      </c>
      <c r="N21" s="3" t="n">
        <f aca="false">L21/M21</f>
        <v>0.412959569104078</v>
      </c>
      <c r="P21" s="4"/>
      <c r="Q21" s="4"/>
    </row>
    <row r="22" customFormat="false" ht="15" hidden="false" customHeight="false" outlineLevel="0" collapsed="false">
      <c r="A22" s="5" t="n">
        <v>37012</v>
      </c>
      <c r="B22" s="6" t="n">
        <v>53.0084583892974</v>
      </c>
      <c r="C22" s="7" t="n">
        <v>177.7</v>
      </c>
      <c r="L22" s="3" t="n">
        <f aca="false">B22*54.2221/B$137</f>
        <v>33.3844629771103</v>
      </c>
      <c r="M22" s="3" t="n">
        <f aca="false">C22*100/C$137</f>
        <v>81.075285497242</v>
      </c>
      <c r="N22" s="3" t="n">
        <f aca="false">L22/M22</f>
        <v>0.411771142985935</v>
      </c>
      <c r="P22" s="4"/>
      <c r="Q22" s="4"/>
    </row>
    <row r="23" customFormat="false" ht="15" hidden="false" customHeight="false" outlineLevel="0" collapsed="false">
      <c r="A23" s="5" t="n">
        <v>37043</v>
      </c>
      <c r="B23" s="6" t="n">
        <v>53.262087376806</v>
      </c>
      <c r="C23" s="7" t="n">
        <v>178</v>
      </c>
      <c r="L23" s="3" t="n">
        <f aca="false">B23*54.2221/B$137</f>
        <v>33.5441972497281</v>
      </c>
      <c r="M23" s="3" t="n">
        <f aca="false">C23*100/C$137</f>
        <v>81.2121599240803</v>
      </c>
      <c r="N23" s="3" t="n">
        <f aca="false">L23/M23</f>
        <v>0.413044022977425</v>
      </c>
      <c r="P23" s="4"/>
      <c r="Q23" s="4"/>
    </row>
    <row r="24" customFormat="false" ht="15" hidden="false" customHeight="false" outlineLevel="0" collapsed="false">
      <c r="A24" s="5" t="n">
        <v>37073</v>
      </c>
      <c r="B24" s="6" t="n">
        <v>53.3916000512775</v>
      </c>
      <c r="C24" s="7" t="n">
        <v>177.5</v>
      </c>
      <c r="L24" s="3" t="n">
        <f aca="false">B24*54.2221/B$137</f>
        <v>33.6257636868089</v>
      </c>
      <c r="M24" s="3" t="n">
        <f aca="false">C24*100/C$137</f>
        <v>80.9840358793498</v>
      </c>
      <c r="N24" s="3" t="n">
        <f aca="false">L24/M24</f>
        <v>0.41521471882316</v>
      </c>
      <c r="P24" s="4"/>
      <c r="Q24" s="4"/>
    </row>
    <row r="25" customFormat="false" ht="15" hidden="false" customHeight="false" outlineLevel="0" collapsed="false">
      <c r="A25" s="5" t="n">
        <v>37104</v>
      </c>
      <c r="B25" s="6" t="n">
        <v>53.623643593042</v>
      </c>
      <c r="C25" s="7" t="n">
        <v>177.5</v>
      </c>
      <c r="L25" s="3" t="n">
        <f aca="false">B25*54.2221/B$137</f>
        <v>33.7719035532472</v>
      </c>
      <c r="M25" s="3" t="n">
        <f aca="false">C25*100/C$137</f>
        <v>80.9840358793498</v>
      </c>
      <c r="N25" s="3" t="n">
        <f aca="false">L25/M25</f>
        <v>0.417019270360404</v>
      </c>
      <c r="P25" s="4"/>
      <c r="Q25" s="4"/>
    </row>
    <row r="26" customFormat="false" ht="15" hidden="false" customHeight="false" outlineLevel="0" collapsed="false">
      <c r="A26" s="5" t="n">
        <v>37135</v>
      </c>
      <c r="B26" s="6" t="n">
        <v>54.7191049646185</v>
      </c>
      <c r="C26" s="7" t="n">
        <v>178.3</v>
      </c>
      <c r="L26" s="3" t="n">
        <f aca="false">B26*54.2221/B$137</f>
        <v>34.4618196668921</v>
      </c>
      <c r="M26" s="3" t="n">
        <f aca="false">C26*100/C$137</f>
        <v>81.3490343509187</v>
      </c>
      <c r="N26" s="3" t="n">
        <f aca="false">L26/M26</f>
        <v>0.423629117934366</v>
      </c>
      <c r="P26" s="4"/>
      <c r="Q26" s="4"/>
    </row>
    <row r="27" customFormat="false" ht="15" hidden="false" customHeight="false" outlineLevel="0" collapsed="false">
      <c r="A27" s="5" t="n">
        <v>37165</v>
      </c>
      <c r="B27" s="6" t="n">
        <v>55.3612719755482</v>
      </c>
      <c r="C27" s="7" t="n">
        <v>177.7</v>
      </c>
      <c r="L27" s="3" t="n">
        <f aca="false">B27*54.2221/B$137</f>
        <v>34.8662532507564</v>
      </c>
      <c r="M27" s="3" t="n">
        <f aca="false">C27*100/C$137</f>
        <v>81.075285497242</v>
      </c>
      <c r="N27" s="3" t="n">
        <f aca="false">L27/M27</f>
        <v>0.430047862760132</v>
      </c>
      <c r="P27" s="4"/>
      <c r="Q27" s="4"/>
    </row>
    <row r="28" customFormat="false" ht="15" hidden="false" customHeight="false" outlineLevel="0" collapsed="false">
      <c r="A28" s="5" t="n">
        <v>37196</v>
      </c>
      <c r="B28" s="6" t="n">
        <v>56.2462752511112</v>
      </c>
      <c r="C28" s="7" t="n">
        <v>177.4</v>
      </c>
      <c r="L28" s="3" t="n">
        <f aca="false">B28*54.2221/B$137</f>
        <v>35.4236239041467</v>
      </c>
      <c r="M28" s="3" t="n">
        <f aca="false">C28*100/C$137</f>
        <v>80.9384110704037</v>
      </c>
      <c r="N28" s="3" t="n">
        <f aca="false">L28/M28</f>
        <v>0.437661469204451</v>
      </c>
      <c r="P28" s="4"/>
      <c r="Q28" s="4"/>
    </row>
    <row r="29" customFormat="false" ht="15" hidden="false" customHeight="false" outlineLevel="0" collapsed="false">
      <c r="A29" s="5" t="n">
        <v>37226</v>
      </c>
      <c r="B29" s="6" t="n">
        <v>56.6240205516569</v>
      </c>
      <c r="C29" s="7" t="n">
        <v>176.7</v>
      </c>
      <c r="L29" s="3" t="n">
        <f aca="false">B29*54.2221/B$137</f>
        <v>35.6615260123014</v>
      </c>
      <c r="M29" s="3" t="n">
        <f aca="false">C29*100/C$137</f>
        <v>80.6190374077809</v>
      </c>
      <c r="N29" s="3" t="n">
        <f aca="false">L29/M29</f>
        <v>0.442346214479355</v>
      </c>
      <c r="P29" s="4"/>
      <c r="Q29" s="4"/>
    </row>
    <row r="30" customFormat="false" ht="15" hidden="false" customHeight="false" outlineLevel="0" collapsed="false">
      <c r="A30" s="5" t="n">
        <v>37257</v>
      </c>
      <c r="B30" s="6" t="n">
        <v>57.6460914076981</v>
      </c>
      <c r="C30" s="8" t="n">
        <v>177.1</v>
      </c>
      <c r="D30" s="1" t="n">
        <v>390.83</v>
      </c>
      <c r="E30" s="1" t="n">
        <v>502.41</v>
      </c>
      <c r="F30" s="1" t="n">
        <v>111.58</v>
      </c>
      <c r="G30" s="1" t="n">
        <v>350.159</v>
      </c>
      <c r="H30" s="1" t="n">
        <v>502</v>
      </c>
      <c r="I30" s="3" t="n">
        <f aca="false">G30-H30</f>
        <v>-151.841</v>
      </c>
      <c r="J30" s="1" t="n">
        <v>19.68761904762</v>
      </c>
      <c r="K30" s="1" t="n">
        <v>50</v>
      </c>
      <c r="L30" s="3" t="n">
        <f aca="false">B30*54.2221/B$137</f>
        <v>36.3052211449329</v>
      </c>
      <c r="M30" s="3" t="n">
        <f aca="false">C30*100/C$137</f>
        <v>80.8015366435653</v>
      </c>
      <c r="N30" s="3" t="n">
        <f aca="false">L30/M30</f>
        <v>0.44931349888906</v>
      </c>
      <c r="O30" s="1" t="n">
        <v>502.413501523287</v>
      </c>
      <c r="P30" s="1" t="n">
        <v>107.782</v>
      </c>
      <c r="Q30" s="1" t="n">
        <v>373.446456324611</v>
      </c>
      <c r="R30" s="1" t="n">
        <v>248.862589666667</v>
      </c>
    </row>
    <row r="31" customFormat="false" ht="15" hidden="false" customHeight="false" outlineLevel="0" collapsed="false">
      <c r="A31" s="5" t="n">
        <v>37288</v>
      </c>
      <c r="B31" s="6" t="n">
        <v>58.2612766114426</v>
      </c>
      <c r="C31" s="8" t="n">
        <v>177.8</v>
      </c>
      <c r="D31" s="1" t="n">
        <v>462.87</v>
      </c>
      <c r="E31" s="1" t="n">
        <v>490.39</v>
      </c>
      <c r="F31" s="1" t="n">
        <v>27.52</v>
      </c>
      <c r="G31" s="1" t="n">
        <v>346.297</v>
      </c>
      <c r="H31" s="1" t="n">
        <v>406.7</v>
      </c>
      <c r="I31" s="3" t="n">
        <f aca="false">G31-H31</f>
        <v>-60.403</v>
      </c>
      <c r="J31" s="1" t="n">
        <v>20.72315789474</v>
      </c>
      <c r="K31" s="1" t="n">
        <v>50.5335879577626</v>
      </c>
      <c r="L31" s="3" t="n">
        <f aca="false">B31*54.2221/B$137</f>
        <v>36.6926617210697</v>
      </c>
      <c r="M31" s="3" t="n">
        <f aca="false">C31*100/C$137</f>
        <v>81.1209103061881</v>
      </c>
      <c r="N31" s="3" t="n">
        <f aca="false">L31/M31</f>
        <v>0.452320635734665</v>
      </c>
      <c r="O31" s="1" t="n">
        <v>490.3818139949</v>
      </c>
      <c r="P31" s="1" t="n">
        <v>96.136</v>
      </c>
      <c r="Q31" s="1" t="n">
        <v>371.498547882475</v>
      </c>
      <c r="R31" s="1" t="n">
        <v>203.278666666667</v>
      </c>
    </row>
    <row r="32" customFormat="false" ht="15" hidden="false" customHeight="false" outlineLevel="0" collapsed="false">
      <c r="A32" s="5" t="n">
        <v>37316</v>
      </c>
      <c r="B32" s="6" t="n">
        <v>58.9153156175306</v>
      </c>
      <c r="C32" s="8" t="n">
        <v>178.8</v>
      </c>
      <c r="D32" s="1" t="n">
        <v>411.84</v>
      </c>
      <c r="E32" s="1" t="n">
        <v>443.49</v>
      </c>
      <c r="F32" s="1" t="n">
        <v>31.65</v>
      </c>
      <c r="G32" s="1" t="n">
        <v>405.99</v>
      </c>
      <c r="H32" s="1" t="n">
        <v>448.3</v>
      </c>
      <c r="I32" s="3" t="n">
        <f aca="false">G32-H32</f>
        <v>-42.31</v>
      </c>
      <c r="J32" s="1" t="n">
        <v>24.377</v>
      </c>
      <c r="K32" s="1" t="n">
        <v>51.1008762075958</v>
      </c>
      <c r="L32" s="3" t="n">
        <f aca="false">B32*54.2221/B$137</f>
        <v>37.1045722283321</v>
      </c>
      <c r="M32" s="3" t="n">
        <f aca="false">C32*100/C$137</f>
        <v>81.5771583956492</v>
      </c>
      <c r="N32" s="3" t="n">
        <f aca="false">L32/M32</f>
        <v>0.454840214565638</v>
      </c>
      <c r="O32" s="1" t="n">
        <v>443.488453307438</v>
      </c>
      <c r="P32" s="1" t="n">
        <v>84.473</v>
      </c>
      <c r="Q32" s="1" t="n">
        <v>349.168504779384</v>
      </c>
      <c r="R32" s="1" t="n">
        <v>223.516666666667</v>
      </c>
    </row>
    <row r="33" customFormat="false" ht="15" hidden="false" customHeight="false" outlineLevel="0" collapsed="false">
      <c r="A33" s="5" t="n">
        <v>37347</v>
      </c>
      <c r="B33" s="6" t="n">
        <v>59.7965414400868</v>
      </c>
      <c r="C33" s="8" t="n">
        <v>179.8</v>
      </c>
      <c r="D33" s="1" t="n">
        <v>517.14</v>
      </c>
      <c r="E33" s="1" t="n">
        <v>640.62</v>
      </c>
      <c r="F33" s="1" t="n">
        <v>123.48</v>
      </c>
      <c r="G33" s="1" t="n">
        <v>447.954</v>
      </c>
      <c r="H33" s="1" t="n">
        <v>586.9</v>
      </c>
      <c r="I33" s="3" t="n">
        <f aca="false">G33-H33</f>
        <v>-138.946</v>
      </c>
      <c r="J33" s="1" t="n">
        <v>26.24318181818</v>
      </c>
      <c r="K33" s="1" t="n">
        <v>51.8652175541095</v>
      </c>
      <c r="L33" s="3" t="n">
        <f aca="false">B33*54.2221/B$137</f>
        <v>37.65956386064</v>
      </c>
      <c r="M33" s="3" t="n">
        <f aca="false">C33*100/C$137</f>
        <v>82.0334064851104</v>
      </c>
      <c r="N33" s="3" t="n">
        <f aca="false">L33/M33</f>
        <v>0.45907594813188</v>
      </c>
      <c r="O33" s="1" t="n">
        <v>640.624645231817</v>
      </c>
      <c r="P33" s="1" t="n">
        <v>87.93319173</v>
      </c>
      <c r="Q33" s="1" t="n">
        <v>541.882265347857</v>
      </c>
      <c r="R33" s="1" t="n">
        <v>351.805313666667</v>
      </c>
    </row>
    <row r="34" customFormat="false" ht="15" hidden="false" customHeight="false" outlineLevel="0" collapsed="false">
      <c r="A34" s="5" t="n">
        <v>37377</v>
      </c>
      <c r="B34" s="6" t="n">
        <v>60.0890242299388</v>
      </c>
      <c r="C34" s="8" t="n">
        <v>179.8</v>
      </c>
      <c r="D34" s="1" t="n">
        <v>577.29</v>
      </c>
      <c r="E34" s="1" t="n">
        <v>531.48</v>
      </c>
      <c r="F34" s="1" t="n">
        <v>-45.81</v>
      </c>
      <c r="G34" s="1" t="n">
        <v>447.788</v>
      </c>
      <c r="H34" s="1" t="n">
        <v>531.8</v>
      </c>
      <c r="I34" s="3" t="n">
        <f aca="false">G34-H34</f>
        <v>-84.0119999999999</v>
      </c>
      <c r="J34" s="1" t="n">
        <v>27.04454545455</v>
      </c>
      <c r="K34" s="1" t="n">
        <v>52.1189058638541</v>
      </c>
      <c r="L34" s="3" t="n">
        <f aca="false">B34*54.2221/B$137</f>
        <v>37.8437680643832</v>
      </c>
      <c r="M34" s="3" t="n">
        <f aca="false">C34*100/C$137</f>
        <v>82.0334064851104</v>
      </c>
      <c r="N34" s="3" t="n">
        <f aca="false">L34/M34</f>
        <v>0.461321426061371</v>
      </c>
      <c r="O34" s="1" t="n">
        <v>531.476979760868</v>
      </c>
      <c r="P34" s="1" t="n">
        <v>130.95773074</v>
      </c>
      <c r="Q34" s="1" t="n">
        <v>366.776792996667</v>
      </c>
      <c r="R34" s="1" t="n">
        <v>219.090052996667</v>
      </c>
    </row>
    <row r="35" customFormat="false" ht="15" hidden="false" customHeight="false" outlineLevel="0" collapsed="false">
      <c r="A35" s="5" t="n">
        <v>37408</v>
      </c>
      <c r="B35" s="6" t="n">
        <v>60.3183695909794</v>
      </c>
      <c r="C35" s="8" t="n">
        <v>179.9</v>
      </c>
      <c r="D35" s="1" t="n">
        <v>445.28</v>
      </c>
      <c r="E35" s="1" t="n">
        <v>522.96</v>
      </c>
      <c r="F35" s="1" t="n">
        <v>77.68</v>
      </c>
      <c r="G35" s="1" t="n">
        <v>407.292</v>
      </c>
      <c r="H35" s="1" t="n">
        <v>533.8</v>
      </c>
      <c r="I35" s="3" t="n">
        <f aca="false">G35-H35</f>
        <v>-126.508</v>
      </c>
      <c r="J35" s="1" t="n">
        <v>25.5085</v>
      </c>
      <c r="K35" s="1" t="n">
        <v>52.3178311989809</v>
      </c>
      <c r="L35" s="3" t="n">
        <f aca="false">B35*54.2221/B$137</f>
        <v>37.9882086300454</v>
      </c>
      <c r="M35" s="3" t="n">
        <f aca="false">C35*100/C$137</f>
        <v>82.0790312940565</v>
      </c>
      <c r="N35" s="3" t="n">
        <f aca="false">L35/M35</f>
        <v>0.462824768167022</v>
      </c>
      <c r="O35" s="1" t="n">
        <v>522.956481696622</v>
      </c>
      <c r="P35" s="1" t="n">
        <v>103.42</v>
      </c>
      <c r="Q35" s="1" t="n">
        <v>408.873166407969</v>
      </c>
      <c r="R35" s="1" t="n">
        <v>227.329346176667</v>
      </c>
    </row>
    <row r="36" customFormat="false" ht="15" hidden="false" customHeight="false" outlineLevel="0" collapsed="false">
      <c r="A36" s="5" t="n">
        <v>37438</v>
      </c>
      <c r="B36" s="6" t="n">
        <v>60.2784365163531</v>
      </c>
      <c r="C36" s="8" t="n">
        <v>180.1</v>
      </c>
      <c r="D36" s="1" t="n">
        <v>455.95</v>
      </c>
      <c r="E36" s="1" t="n">
        <v>543.8</v>
      </c>
      <c r="F36" s="1" t="n">
        <v>87.85</v>
      </c>
      <c r="G36" s="1" t="n">
        <v>421.499</v>
      </c>
      <c r="H36" s="1" t="n">
        <v>519.1</v>
      </c>
      <c r="I36" s="3" t="n">
        <f aca="false">G36-H36</f>
        <v>-97.601</v>
      </c>
      <c r="J36" s="1" t="n">
        <v>26.92380952381</v>
      </c>
      <c r="K36" s="1" t="n">
        <v>52.2831947876899</v>
      </c>
      <c r="L36" s="3" t="n">
        <f aca="false">B36*54.2221/B$137</f>
        <v>37.9630589786137</v>
      </c>
      <c r="M36" s="3" t="n">
        <f aca="false">C36*100/C$137</f>
        <v>82.1702809119487</v>
      </c>
      <c r="N36" s="3" t="n">
        <f aca="false">L36/M36</f>
        <v>0.462004736472714</v>
      </c>
      <c r="O36" s="1" t="n">
        <v>543.798363322269</v>
      </c>
      <c r="P36" s="1" t="n">
        <v>107.852227</v>
      </c>
      <c r="Q36" s="1" t="n">
        <v>398.051950772168</v>
      </c>
      <c r="R36" s="1" t="n">
        <v>248.911056866667</v>
      </c>
    </row>
    <row r="37" customFormat="false" ht="15" hidden="false" customHeight="false" outlineLevel="0" collapsed="false">
      <c r="A37" s="5" t="n">
        <v>37469</v>
      </c>
      <c r="B37" s="6" t="n">
        <v>60.5417789544476</v>
      </c>
      <c r="C37" s="8" t="n">
        <v>180.7</v>
      </c>
      <c r="D37" s="1" t="n">
        <v>549.18</v>
      </c>
      <c r="E37" s="1" t="n">
        <v>482.5</v>
      </c>
      <c r="F37" s="1" t="n">
        <v>-66.68</v>
      </c>
      <c r="G37" s="1" t="n">
        <v>443.682</v>
      </c>
      <c r="H37" s="1" t="n">
        <v>571.3</v>
      </c>
      <c r="I37" s="3" t="n">
        <f aca="false">G37-H37</f>
        <v>-127.618</v>
      </c>
      <c r="J37" s="1" t="n">
        <v>28.37045454545</v>
      </c>
      <c r="K37" s="1" t="n">
        <v>52.5116078783815</v>
      </c>
      <c r="L37" s="3" t="n">
        <f aca="false">B37*54.2221/B$137</f>
        <v>38.1289107340128</v>
      </c>
      <c r="M37" s="3" t="n">
        <f aca="false">C37*100/C$137</f>
        <v>82.4440297656254</v>
      </c>
      <c r="N37" s="3" t="n">
        <f aca="false">L37/M37</f>
        <v>0.462482375526851</v>
      </c>
      <c r="O37" s="1" t="n">
        <v>482.497884093222</v>
      </c>
      <c r="P37" s="1" t="n">
        <v>125.190227</v>
      </c>
      <c r="Q37" s="1" t="n">
        <v>346.114750536407</v>
      </c>
      <c r="R37" s="1" t="n">
        <v>224.488666666667</v>
      </c>
    </row>
    <row r="38" customFormat="false" ht="15" hidden="false" customHeight="false" outlineLevel="0" collapsed="false">
      <c r="A38" s="5" t="n">
        <v>37500</v>
      </c>
      <c r="B38" s="6" t="n">
        <v>60.8909235393805</v>
      </c>
      <c r="C38" s="8" t="n">
        <v>181</v>
      </c>
      <c r="D38" s="1" t="n">
        <v>480.47</v>
      </c>
      <c r="E38" s="1" t="n">
        <v>621.47</v>
      </c>
      <c r="F38" s="1" t="n">
        <v>141</v>
      </c>
      <c r="G38" s="1" t="n">
        <v>447.007</v>
      </c>
      <c r="H38" s="1" t="n">
        <v>510.9</v>
      </c>
      <c r="I38" s="3" t="n">
        <f aca="false">G38-H38</f>
        <v>-63.893</v>
      </c>
      <c r="J38" s="1" t="n">
        <v>29.67</v>
      </c>
      <c r="K38" s="1" t="n">
        <v>52.814442447393</v>
      </c>
      <c r="L38" s="3" t="n">
        <f aca="false">B38*54.2221/B$137</f>
        <v>38.3488002539787</v>
      </c>
      <c r="M38" s="3" t="n">
        <f aca="false">C38*100/C$137</f>
        <v>82.5809041924637</v>
      </c>
      <c r="N38" s="3" t="n">
        <f aca="false">L38/M38</f>
        <v>0.464378546456729</v>
      </c>
      <c r="O38" s="1" t="n">
        <v>621.467285694056</v>
      </c>
      <c r="P38" s="1" t="n">
        <v>148.370227</v>
      </c>
      <c r="Q38" s="1" t="n">
        <v>461.042294756667</v>
      </c>
      <c r="R38" s="1" t="n">
        <v>251.224666666667</v>
      </c>
    </row>
    <row r="39" customFormat="false" ht="15" hidden="false" customHeight="false" outlineLevel="0" collapsed="false">
      <c r="A39" s="5" t="n">
        <v>37530</v>
      </c>
      <c r="B39" s="6" t="n">
        <v>61.2837786519464</v>
      </c>
      <c r="C39" s="8" t="n">
        <v>181.3</v>
      </c>
      <c r="D39" s="1" t="n">
        <v>505.94</v>
      </c>
      <c r="E39" s="1" t="n">
        <v>607.49</v>
      </c>
      <c r="F39" s="1" t="n">
        <v>101.55</v>
      </c>
      <c r="G39" s="1" t="n">
        <v>428.504</v>
      </c>
      <c r="H39" s="1" t="n">
        <v>589.9</v>
      </c>
      <c r="I39" s="3" t="n">
        <f aca="false">G39-H39</f>
        <v>-161.396</v>
      </c>
      <c r="J39" s="1" t="n">
        <v>28.85086956522</v>
      </c>
      <c r="K39" s="1" t="n">
        <v>53.1551898449811</v>
      </c>
      <c r="L39" s="3" t="n">
        <f aca="false">B39*54.2221/B$137</f>
        <v>38.5962184464586</v>
      </c>
      <c r="M39" s="3" t="n">
        <f aca="false">C39*100/C$137</f>
        <v>82.717778619302</v>
      </c>
      <c r="N39" s="3" t="n">
        <f aca="false">L39/M39</f>
        <v>0.466601244505038</v>
      </c>
      <c r="O39" s="1" t="n">
        <v>607.485558814316</v>
      </c>
      <c r="P39" s="1" t="n">
        <v>146.195227</v>
      </c>
      <c r="Q39" s="1" t="n">
        <v>449.913646828377</v>
      </c>
      <c r="R39" s="1" t="n">
        <v>233.855666666667</v>
      </c>
    </row>
    <row r="40" customFormat="false" ht="15" hidden="false" customHeight="false" outlineLevel="0" collapsed="false">
      <c r="A40" s="5" t="n">
        <v>37561</v>
      </c>
      <c r="B40" s="6" t="n">
        <v>61.70955156927</v>
      </c>
      <c r="C40" s="8" t="n">
        <v>181.3</v>
      </c>
      <c r="D40" s="1" t="n">
        <v>637.7</v>
      </c>
      <c r="E40" s="1" t="n">
        <v>482.82</v>
      </c>
      <c r="F40" s="1" t="n">
        <v>-154.88</v>
      </c>
      <c r="G40" s="1" t="n">
        <v>444.137</v>
      </c>
      <c r="H40" s="1" t="n">
        <v>481.5</v>
      </c>
      <c r="I40" s="3" t="n">
        <f aca="false">G40-H40</f>
        <v>-37.363</v>
      </c>
      <c r="J40" s="1" t="n">
        <v>26.28315789474</v>
      </c>
      <c r="K40" s="1" t="n">
        <v>53.524488878902</v>
      </c>
      <c r="L40" s="3" t="n">
        <f aca="false">B40*54.2221/B$137</f>
        <v>38.8643681083607</v>
      </c>
      <c r="M40" s="3" t="n">
        <f aca="false">C40*100/C$137</f>
        <v>82.717778619302</v>
      </c>
      <c r="N40" s="3" t="n">
        <f aca="false">L40/M40</f>
        <v>0.469842986079559</v>
      </c>
      <c r="O40" s="1" t="n">
        <v>482.823092124942</v>
      </c>
      <c r="P40" s="1" t="n">
        <v>111.669227</v>
      </c>
      <c r="Q40" s="1" t="n">
        <v>355.071119043343</v>
      </c>
      <c r="R40" s="1" t="n">
        <v>213.453174166667</v>
      </c>
    </row>
    <row r="41" customFormat="false" ht="15" hidden="false" customHeight="false" outlineLevel="0" collapsed="false">
      <c r="A41" s="5" t="n">
        <v>37591</v>
      </c>
      <c r="B41" s="6" t="n">
        <v>61.9216285737247</v>
      </c>
      <c r="C41" s="8" t="n">
        <v>180.9</v>
      </c>
      <c r="D41" s="1" t="n">
        <v>726.69</v>
      </c>
      <c r="E41" s="1" t="n">
        <v>491.46</v>
      </c>
      <c r="F41" s="1" t="n">
        <v>-235.23</v>
      </c>
      <c r="G41" s="1" t="n">
        <v>445.81</v>
      </c>
      <c r="H41" s="1" t="n">
        <v>499.1</v>
      </c>
      <c r="I41" s="3" t="n">
        <f aca="false">G41-H41</f>
        <v>-53.29</v>
      </c>
      <c r="J41" s="1" t="n">
        <v>29.43571428571</v>
      </c>
      <c r="K41" s="1" t="n">
        <v>53.7084363064515</v>
      </c>
      <c r="L41" s="3" t="n">
        <f aca="false">B41*54.2221/B$137</f>
        <v>38.9979331490853</v>
      </c>
      <c r="M41" s="3" t="n">
        <f aca="false">C41*100/C$137</f>
        <v>82.5352793835176</v>
      </c>
      <c r="N41" s="3" t="n">
        <f aca="false">L41/M41</f>
        <v>0.472500165267184</v>
      </c>
      <c r="O41" s="1" t="n">
        <v>491.462315504476</v>
      </c>
      <c r="P41" s="1" t="n">
        <v>142.782227</v>
      </c>
      <c r="Q41" s="1" t="n">
        <v>359.07297575621</v>
      </c>
      <c r="R41" s="1" t="n">
        <v>260.486666666667</v>
      </c>
    </row>
    <row r="42" customFormat="false" ht="15" hidden="false" customHeight="false" outlineLevel="0" collapsed="false">
      <c r="A42" s="5" t="n">
        <v>37622</v>
      </c>
      <c r="B42" s="6" t="n">
        <v>63.4612104915137</v>
      </c>
      <c r="C42" s="8" t="n">
        <v>181.7</v>
      </c>
      <c r="D42" s="1" t="n">
        <v>411.15</v>
      </c>
      <c r="E42" s="1" t="n">
        <v>585.32</v>
      </c>
      <c r="F42" s="1" t="n">
        <v>174.17</v>
      </c>
      <c r="G42" s="1" t="n">
        <v>479.609</v>
      </c>
      <c r="H42" s="1" t="n">
        <v>586.2</v>
      </c>
      <c r="I42" s="3" t="n">
        <f aca="false">G42-H42</f>
        <v>-106.591</v>
      </c>
      <c r="J42" s="1" t="n">
        <v>32.94952380952</v>
      </c>
      <c r="K42" s="1" t="n">
        <v>55.0438103796913</v>
      </c>
      <c r="L42" s="3" t="n">
        <f aca="false">B42*54.2221/B$137</f>
        <v>39.9675541698889</v>
      </c>
      <c r="M42" s="3" t="n">
        <f aca="false">C42*100/C$137</f>
        <v>82.9002778550865</v>
      </c>
      <c r="N42" s="3" t="n">
        <f aca="false">L42/M42</f>
        <v>0.482116045976999</v>
      </c>
      <c r="O42" s="1" t="n">
        <v>585.31699241672</v>
      </c>
      <c r="P42" s="1" t="n">
        <v>141</v>
      </c>
      <c r="Q42" s="1" t="n">
        <v>435.594531577635</v>
      </c>
      <c r="R42" s="1" t="n">
        <v>297.845975931548</v>
      </c>
    </row>
    <row r="43" customFormat="false" ht="15" hidden="false" customHeight="false" outlineLevel="0" collapsed="false">
      <c r="A43" s="5" t="n">
        <v>37653</v>
      </c>
      <c r="B43" s="6" t="n">
        <v>63.946343384642</v>
      </c>
      <c r="C43" s="8" t="n">
        <v>183.1</v>
      </c>
      <c r="D43" s="1" t="n">
        <v>508.69</v>
      </c>
      <c r="E43" s="1" t="n">
        <v>467.41</v>
      </c>
      <c r="F43" s="1" t="n">
        <v>-41.28</v>
      </c>
      <c r="G43" s="1" t="n">
        <v>539.485</v>
      </c>
      <c r="H43" s="1" t="n">
        <v>439.3</v>
      </c>
      <c r="I43" s="3" t="n">
        <f aca="false">G43-H43</f>
        <v>100.185</v>
      </c>
      <c r="J43" s="1" t="n">
        <v>35.80263157895</v>
      </c>
      <c r="K43" s="1" t="n">
        <v>55.4645959709443</v>
      </c>
      <c r="L43" s="3" t="n">
        <f aca="false">B43*54.2221/B$137</f>
        <v>40.2730884487897</v>
      </c>
      <c r="M43" s="3" t="n">
        <f aca="false">C43*100/C$137</f>
        <v>83.5390251803321</v>
      </c>
      <c r="N43" s="3" t="n">
        <f aca="false">L43/M43</f>
        <v>0.48208712469237</v>
      </c>
      <c r="O43" s="1" t="n">
        <v>467.411720066312</v>
      </c>
      <c r="P43" s="1" t="n">
        <v>129.2</v>
      </c>
      <c r="Q43" s="1" t="n">
        <v>340.40278495281</v>
      </c>
      <c r="R43" s="1" t="n">
        <v>213.693654762677</v>
      </c>
    </row>
    <row r="44" customFormat="false" ht="15" hidden="false" customHeight="false" outlineLevel="0" collapsed="false">
      <c r="A44" s="5" t="n">
        <v>37681</v>
      </c>
      <c r="B44" s="6" t="n">
        <v>64.3068203285884</v>
      </c>
      <c r="C44" s="8" t="n">
        <v>184.2</v>
      </c>
      <c r="D44" s="1" t="n">
        <v>451.71</v>
      </c>
      <c r="E44" s="1" t="n">
        <v>552.88</v>
      </c>
      <c r="F44" s="1" t="n">
        <v>101.17</v>
      </c>
      <c r="G44" s="1" t="n">
        <v>515.392</v>
      </c>
      <c r="H44" s="1" t="n">
        <v>465</v>
      </c>
      <c r="I44" s="3" t="n">
        <f aca="false">G44-H44</f>
        <v>50.3920000000001</v>
      </c>
      <c r="J44" s="1" t="n">
        <v>33.31571428571</v>
      </c>
      <c r="K44" s="1" t="n">
        <v>55.7772597918069</v>
      </c>
      <c r="L44" s="3" t="n">
        <f aca="false">B44*54.2221/B$137</f>
        <v>40.5001150319984</v>
      </c>
      <c r="M44" s="3" t="n">
        <f aca="false">C44*100/C$137</f>
        <v>84.0408980787393</v>
      </c>
      <c r="N44" s="3" t="n">
        <f aca="false">L44/M44</f>
        <v>0.481909593517827</v>
      </c>
      <c r="O44" s="1" t="n">
        <v>552.872242460284</v>
      </c>
      <c r="P44" s="1" t="n">
        <v>163.6</v>
      </c>
      <c r="Q44" s="1" t="n">
        <v>394.690869602315</v>
      </c>
      <c r="R44" s="1" t="n">
        <v>230.93459965545</v>
      </c>
    </row>
    <row r="45" customFormat="false" ht="15" hidden="false" customHeight="false" outlineLevel="0" collapsed="false">
      <c r="A45" s="5" t="n">
        <v>37712</v>
      </c>
      <c r="B45" s="6" t="n">
        <v>64.9322586190636</v>
      </c>
      <c r="C45" s="8" t="n">
        <v>183.8</v>
      </c>
      <c r="D45" s="1" t="n">
        <v>485.9</v>
      </c>
      <c r="E45" s="1" t="n">
        <v>649.63</v>
      </c>
      <c r="F45" s="1" t="n">
        <v>163.73</v>
      </c>
      <c r="G45" s="1" t="n">
        <v>469.884</v>
      </c>
      <c r="H45" s="1" t="n">
        <v>483.4</v>
      </c>
      <c r="I45" s="3" t="n">
        <f aca="false">G45-H45</f>
        <v>-13.516</v>
      </c>
      <c r="J45" s="1" t="n">
        <v>28.22142857143</v>
      </c>
      <c r="K45" s="1" t="n">
        <v>56.3197408822001</v>
      </c>
      <c r="L45" s="3" t="n">
        <f aca="false">B45*54.2221/B$137</f>
        <v>40.8940129510719</v>
      </c>
      <c r="M45" s="3" t="n">
        <f aca="false">C45*100/C$137</f>
        <v>83.8583988429548</v>
      </c>
      <c r="N45" s="3" t="n">
        <f aca="false">L45/M45</f>
        <v>0.487655542143797</v>
      </c>
      <c r="O45" s="1" t="n">
        <v>649.632770428465</v>
      </c>
      <c r="P45" s="1" t="n">
        <v>63.9</v>
      </c>
      <c r="Q45" s="1" t="n">
        <v>525.481039156918</v>
      </c>
      <c r="R45" s="1" t="n">
        <v>357.740971371626</v>
      </c>
    </row>
    <row r="46" customFormat="false" ht="15" hidden="false" customHeight="false" outlineLevel="0" collapsed="false">
      <c r="A46" s="5" t="n">
        <v>37742</v>
      </c>
      <c r="B46" s="6" t="n">
        <v>65.0472011176596</v>
      </c>
      <c r="C46" s="8" t="n">
        <v>183.5</v>
      </c>
      <c r="D46" s="1" t="n">
        <v>549.15</v>
      </c>
      <c r="E46" s="1" t="n">
        <v>497.52</v>
      </c>
      <c r="F46" s="1" t="n">
        <v>-51.63</v>
      </c>
      <c r="G46" s="1" t="n">
        <v>467.329</v>
      </c>
      <c r="H46" s="1" t="n">
        <v>554.2</v>
      </c>
      <c r="I46" s="3" t="n">
        <f aca="false">G46-H46</f>
        <v>-86.871</v>
      </c>
      <c r="J46" s="1" t="n">
        <v>28.13238095238</v>
      </c>
      <c r="K46" s="1" t="n">
        <v>56.419437579573</v>
      </c>
      <c r="L46" s="3" t="n">
        <f aca="false">B46*54.2221/B$137</f>
        <v>40.9664031639827</v>
      </c>
      <c r="M46" s="3" t="n">
        <f aca="false">C46*100/C$137</f>
        <v>83.7215244161165</v>
      </c>
      <c r="N46" s="3" t="n">
        <f aca="false">L46/M46</f>
        <v>0.489317453900739</v>
      </c>
      <c r="O46" s="1" t="n">
        <v>497.517585204011</v>
      </c>
      <c r="P46" s="1" t="n">
        <v>105.57</v>
      </c>
      <c r="Q46" s="1" t="n">
        <v>403.415698265331</v>
      </c>
      <c r="R46" s="1" t="n">
        <v>249.065403898793</v>
      </c>
    </row>
    <row r="47" customFormat="false" ht="15" hidden="false" customHeight="false" outlineLevel="0" collapsed="false">
      <c r="A47" s="5" t="n">
        <v>37773</v>
      </c>
      <c r="B47" s="6" t="n">
        <v>64.9117524456023</v>
      </c>
      <c r="C47" s="8" t="n">
        <v>183.7</v>
      </c>
      <c r="D47" s="1" t="n">
        <v>508.33</v>
      </c>
      <c r="E47" s="1" t="n">
        <v>582.33</v>
      </c>
      <c r="F47" s="1" t="n">
        <v>74</v>
      </c>
      <c r="G47" s="1" t="n">
        <v>498.528</v>
      </c>
      <c r="H47" s="1" t="n">
        <v>486.9</v>
      </c>
      <c r="I47" s="3" t="n">
        <f aca="false">G47-H47</f>
        <v>11.628</v>
      </c>
      <c r="J47" s="1" t="n">
        <v>30.71</v>
      </c>
      <c r="K47" s="1" t="n">
        <v>56.3019546169387</v>
      </c>
      <c r="L47" s="3" t="n">
        <f aca="false">B47*54.2221/B$137</f>
        <v>40.8810982651987</v>
      </c>
      <c r="M47" s="3" t="n">
        <f aca="false">C47*100/C$137</f>
        <v>83.8127740340087</v>
      </c>
      <c r="N47" s="3" t="n">
        <f aca="false">L47/M47</f>
        <v>0.487766915441915</v>
      </c>
      <c r="O47" s="1" t="n">
        <v>582.32201484034</v>
      </c>
      <c r="P47" s="1" t="n">
        <v>143.7</v>
      </c>
      <c r="Q47" s="1" t="n">
        <v>416.237576447516</v>
      </c>
      <c r="R47" s="1" t="n">
        <v>250.811436385104</v>
      </c>
    </row>
    <row r="48" customFormat="false" ht="15" hidden="false" customHeight="false" outlineLevel="0" collapsed="false">
      <c r="A48" s="5" t="n">
        <v>37803</v>
      </c>
      <c r="B48" s="6" t="n">
        <v>64.9333378913531</v>
      </c>
      <c r="C48" s="8" t="n">
        <v>183.9</v>
      </c>
      <c r="D48" s="1" t="n">
        <v>527.17</v>
      </c>
      <c r="E48" s="1" t="n">
        <v>631.64</v>
      </c>
      <c r="F48" s="1" t="n">
        <v>104.47</v>
      </c>
      <c r="G48" s="1" t="n">
        <v>502.796</v>
      </c>
      <c r="H48" s="1" t="n">
        <v>592.6</v>
      </c>
      <c r="I48" s="3" t="n">
        <f aca="false">G48-H48</f>
        <v>-89.804</v>
      </c>
      <c r="J48" s="1" t="n">
        <v>30.74954545455</v>
      </c>
      <c r="K48" s="1" t="n">
        <v>56.3206770014263</v>
      </c>
      <c r="L48" s="3" t="n">
        <f aca="false">B48*54.2221/B$137</f>
        <v>40.8946926713823</v>
      </c>
      <c r="M48" s="3" t="n">
        <f aca="false">C48*100/C$137</f>
        <v>83.904023651901</v>
      </c>
      <c r="N48" s="3" t="n">
        <f aca="false">L48/M48</f>
        <v>0.487398469006031</v>
      </c>
      <c r="O48" s="1" t="n">
        <v>631.639565721872</v>
      </c>
      <c r="P48" s="1" t="n">
        <v>156.2</v>
      </c>
      <c r="Q48" s="1" t="n">
        <v>453.302699650302</v>
      </c>
      <c r="R48" s="1" t="n">
        <v>290.17404359315</v>
      </c>
    </row>
    <row r="49" customFormat="false" ht="15" hidden="false" customHeight="false" outlineLevel="0" collapsed="false">
      <c r="A49" s="5" t="n">
        <v>37834</v>
      </c>
      <c r="B49" s="6" t="n">
        <v>64.9732709659794</v>
      </c>
      <c r="C49" s="8" t="n">
        <v>184.6</v>
      </c>
      <c r="D49" s="1" t="n">
        <v>604.59</v>
      </c>
      <c r="E49" s="1" t="n">
        <v>553.99</v>
      </c>
      <c r="F49" s="1" t="n">
        <v>-50.6</v>
      </c>
      <c r="G49" s="1" t="n">
        <v>505.353</v>
      </c>
      <c r="H49" s="1" t="n">
        <v>502.7</v>
      </c>
      <c r="I49" s="3" t="n">
        <f aca="false">G49-H49</f>
        <v>2.65300000000002</v>
      </c>
      <c r="J49" s="1" t="n">
        <v>31.58380952381</v>
      </c>
      <c r="K49" s="1" t="n">
        <v>56.3553134127172</v>
      </c>
      <c r="L49" s="3" t="n">
        <f aca="false">B49*54.2221/B$137</f>
        <v>40.919842322814</v>
      </c>
      <c r="M49" s="3" t="n">
        <f aca="false">C49*100/C$137</f>
        <v>84.2233973145238</v>
      </c>
      <c r="N49" s="3" t="n">
        <f aca="false">L49/M49</f>
        <v>0.485848868931314</v>
      </c>
      <c r="O49" s="1" t="n">
        <v>553.987210446019</v>
      </c>
      <c r="P49" s="1" t="n">
        <v>155.5</v>
      </c>
      <c r="Q49" s="1" t="n">
        <v>397.963732752483</v>
      </c>
      <c r="R49" s="1" t="n">
        <v>240.285368634479</v>
      </c>
    </row>
    <row r="50" customFormat="false" ht="15" hidden="false" customHeight="false" outlineLevel="0" collapsed="false">
      <c r="A50" s="5" t="n">
        <v>37865</v>
      </c>
      <c r="B50" s="6" t="n">
        <v>65.4870045747205</v>
      </c>
      <c r="C50" s="8" t="n">
        <v>185.2</v>
      </c>
      <c r="D50" s="1" t="n">
        <v>638.18</v>
      </c>
      <c r="E50" s="1" t="n">
        <v>636.22</v>
      </c>
      <c r="F50" s="1" t="n">
        <v>-1.96</v>
      </c>
      <c r="G50" s="1" t="n">
        <v>532.46</v>
      </c>
      <c r="H50" s="1" t="n">
        <v>483.5</v>
      </c>
      <c r="I50" s="3" t="n">
        <f aca="false">G50-H50</f>
        <v>48.96</v>
      </c>
      <c r="J50" s="1" t="n">
        <v>28.28380952381</v>
      </c>
      <c r="K50" s="1" t="n">
        <v>56.8009061634102</v>
      </c>
      <c r="L50" s="3" t="n">
        <f aca="false">B50*54.2221/B$137</f>
        <v>41.2433891899038</v>
      </c>
      <c r="M50" s="3" t="n">
        <f aca="false">C50*100/C$137</f>
        <v>84.4971461682004</v>
      </c>
      <c r="N50" s="3" t="n">
        <f aca="false">L50/M50</f>
        <v>0.488103930845244</v>
      </c>
      <c r="O50" s="1" t="n">
        <v>636.220564792842</v>
      </c>
      <c r="P50" s="1" t="n">
        <v>148.5</v>
      </c>
      <c r="Q50" s="1" t="n">
        <v>464.079034273043</v>
      </c>
      <c r="R50" s="1" t="n">
        <v>263.383618968775</v>
      </c>
    </row>
    <row r="51" customFormat="false" ht="15" hidden="false" customHeight="false" outlineLevel="0" collapsed="false">
      <c r="A51" s="5" t="n">
        <v>37895</v>
      </c>
      <c r="B51" s="6" t="n">
        <v>65.4886234831482</v>
      </c>
      <c r="C51" s="8" t="n">
        <v>185</v>
      </c>
      <c r="D51" s="1" t="n">
        <v>549.07</v>
      </c>
      <c r="E51" s="1" t="n">
        <v>627.88</v>
      </c>
      <c r="F51" s="1" t="n">
        <v>78.81</v>
      </c>
      <c r="G51" s="1" t="n">
        <v>578.126</v>
      </c>
      <c r="H51" s="1" t="n">
        <v>578.8</v>
      </c>
      <c r="I51" s="3" t="n">
        <f aca="false">G51-H51</f>
        <v>-0.673999999999978</v>
      </c>
      <c r="J51" s="1" t="n">
        <v>30.32173913043</v>
      </c>
      <c r="K51" s="1" t="n">
        <v>56.8023103422436</v>
      </c>
      <c r="L51" s="3" t="n">
        <f aca="false">B51*54.2221/B$137</f>
        <v>41.2444087703653</v>
      </c>
      <c r="M51" s="3" t="n">
        <f aca="false">C51*100/C$137</f>
        <v>84.4058965503082</v>
      </c>
      <c r="N51" s="3" t="n">
        <f aca="false">L51/M51</f>
        <v>0.488643690263778</v>
      </c>
      <c r="O51" s="1" t="n">
        <v>627.875505662643</v>
      </c>
      <c r="P51" s="1" t="n">
        <v>146.05793149</v>
      </c>
      <c r="Q51" s="1" t="n">
        <v>472.590674455237</v>
      </c>
      <c r="R51" s="1" t="n">
        <v>263.337461011904</v>
      </c>
    </row>
    <row r="52" customFormat="false" ht="15" hidden="false" customHeight="false" outlineLevel="0" collapsed="false">
      <c r="A52" s="5" t="n">
        <v>37926</v>
      </c>
      <c r="B52" s="6" t="n">
        <v>65.7071761213267</v>
      </c>
      <c r="C52" s="8" t="n">
        <v>184.5</v>
      </c>
      <c r="D52" s="1" t="n">
        <v>634.68</v>
      </c>
      <c r="E52" s="1" t="n">
        <v>481.53</v>
      </c>
      <c r="F52" s="1" t="n">
        <v>-153.15</v>
      </c>
      <c r="G52" s="1" t="n">
        <v>554.741</v>
      </c>
      <c r="H52" s="1" t="n">
        <v>541.7</v>
      </c>
      <c r="I52" s="3" t="n">
        <f aca="false">G52-H52</f>
        <v>13.0409999999999</v>
      </c>
      <c r="J52" s="1" t="n">
        <v>31.09222222222</v>
      </c>
      <c r="K52" s="1" t="n">
        <v>56.9918744851383</v>
      </c>
      <c r="L52" s="3" t="n">
        <f aca="false">B52*54.2221/B$137</f>
        <v>41.3820521329441</v>
      </c>
      <c r="M52" s="3" t="n">
        <f aca="false">C52*100/C$137</f>
        <v>84.1777725055776</v>
      </c>
      <c r="N52" s="3" t="n">
        <f aca="false">L52/M52</f>
        <v>0.491603078831791</v>
      </c>
      <c r="O52" s="1" t="n">
        <v>481.53595898672</v>
      </c>
      <c r="P52" s="1" t="n">
        <v>114.1275383088</v>
      </c>
      <c r="Q52" s="1" t="n">
        <v>391.850474960665</v>
      </c>
      <c r="R52" s="1" t="n">
        <v>243.387456051648</v>
      </c>
    </row>
    <row r="53" customFormat="false" ht="15" hidden="false" customHeight="false" outlineLevel="0" collapsed="false">
      <c r="A53" s="5" t="n">
        <v>37956</v>
      </c>
      <c r="B53" s="6" t="n">
        <v>65.6801943141415</v>
      </c>
      <c r="C53" s="8" t="n">
        <v>184.3</v>
      </c>
      <c r="D53" s="1" t="n">
        <v>717.94</v>
      </c>
      <c r="E53" s="1" t="n">
        <v>643.91</v>
      </c>
      <c r="F53" s="1" t="n">
        <v>-74.03</v>
      </c>
      <c r="G53" s="1" t="n">
        <v>578.992</v>
      </c>
      <c r="H53" s="1" t="n">
        <v>539.3</v>
      </c>
      <c r="I53" s="3" t="n">
        <f aca="false">G53-H53</f>
        <v>39.692</v>
      </c>
      <c r="J53" s="1" t="n">
        <v>32.12333333333</v>
      </c>
      <c r="K53" s="1" t="n">
        <v>56.9684715045317</v>
      </c>
      <c r="L53" s="3" t="n">
        <f aca="false">B53*54.2221/B$137</f>
        <v>41.3650591252166</v>
      </c>
      <c r="M53" s="3" t="n">
        <f aca="false">C53*100/C$137</f>
        <v>84.0865228876854</v>
      </c>
      <c r="N53" s="3" t="n">
        <f aca="false">L53/M53</f>
        <v>0.491934470646004</v>
      </c>
      <c r="O53" s="1" t="n">
        <v>643.910737176681</v>
      </c>
      <c r="P53" s="1" t="n">
        <v>196.2972674938</v>
      </c>
      <c r="Q53" s="1" t="n">
        <v>460.263514038707</v>
      </c>
      <c r="R53" s="1" t="n">
        <v>262.856498008923</v>
      </c>
    </row>
    <row r="54" customFormat="false" ht="15" hidden="false" customHeight="false" outlineLevel="0" collapsed="false">
      <c r="A54" s="5" t="n">
        <v>37987</v>
      </c>
      <c r="B54" s="6" t="n">
        <v>65.9494727498151</v>
      </c>
      <c r="C54" s="8" t="n">
        <v>185.2</v>
      </c>
      <c r="D54" s="1" t="n">
        <v>427.68</v>
      </c>
      <c r="E54" s="1" t="n">
        <v>632.74</v>
      </c>
      <c r="F54" s="1" t="n">
        <v>205.06</v>
      </c>
      <c r="G54" s="1" t="n">
        <v>569.61197</v>
      </c>
      <c r="H54" s="1" t="n">
        <v>511.4</v>
      </c>
      <c r="I54" s="3" t="n">
        <f aca="false">G54-H54</f>
        <v>58.21197</v>
      </c>
      <c r="J54" s="1" t="n">
        <v>34.24315789474</v>
      </c>
      <c r="K54" s="1" t="n">
        <v>57.2020332509554</v>
      </c>
      <c r="L54" s="3" t="n">
        <f aca="false">B54*54.2221/B$137</f>
        <v>41.5346493423148</v>
      </c>
      <c r="M54" s="3" t="n">
        <f aca="false">C54*100/C$137</f>
        <v>84.4971461682004</v>
      </c>
      <c r="N54" s="3" t="n">
        <f aca="false">L54/M54</f>
        <v>0.49155091296972</v>
      </c>
      <c r="O54" s="1" t="n">
        <v>632.74381682916</v>
      </c>
      <c r="P54" s="1" t="n">
        <v>164.16096347</v>
      </c>
      <c r="Q54" s="1" t="n">
        <v>446.69275035916</v>
      </c>
      <c r="R54" s="1" t="n">
        <v>303.37783002916</v>
      </c>
    </row>
    <row r="55" customFormat="false" ht="15" hidden="false" customHeight="false" outlineLevel="0" collapsed="false">
      <c r="A55" s="5" t="n">
        <v>38018</v>
      </c>
      <c r="B55" s="6" t="n">
        <v>66.4016878381791</v>
      </c>
      <c r="C55" s="8" t="n">
        <v>186.2</v>
      </c>
      <c r="D55" s="1" t="n">
        <v>625.82</v>
      </c>
      <c r="E55" s="1" t="n">
        <v>521.38</v>
      </c>
      <c r="F55" s="1" t="n">
        <v>-104.44</v>
      </c>
      <c r="G55" s="1" t="n">
        <v>549.29008</v>
      </c>
      <c r="H55" s="1" t="n">
        <v>492.4</v>
      </c>
      <c r="I55" s="3" t="n">
        <f aca="false">G55-H55</f>
        <v>56.8900800000001</v>
      </c>
      <c r="J55" s="1" t="n">
        <v>34.73</v>
      </c>
      <c r="K55" s="1" t="n">
        <v>57.5942672058698</v>
      </c>
      <c r="L55" s="3" t="n">
        <f aca="false">B55*54.2221/B$137</f>
        <v>41.8194521517892</v>
      </c>
      <c r="M55" s="3" t="n">
        <f aca="false">C55*100/C$137</f>
        <v>84.9533942576615</v>
      </c>
      <c r="N55" s="3" t="n">
        <f aca="false">L55/M55</f>
        <v>0.492263464187809</v>
      </c>
      <c r="O55" s="1" t="n">
        <v>521.381716205755</v>
      </c>
      <c r="P55" s="1" t="n">
        <v>116.669792668378</v>
      </c>
      <c r="Q55" s="1" t="n">
        <v>374.508665537377</v>
      </c>
      <c r="R55" s="1" t="n">
        <v>222.512696795755</v>
      </c>
    </row>
    <row r="56" customFormat="false" ht="15" hidden="false" customHeight="false" outlineLevel="0" collapsed="false">
      <c r="A56" s="5" t="n">
        <v>38047</v>
      </c>
      <c r="B56" s="6" t="n">
        <v>66.8657749217081</v>
      </c>
      <c r="C56" s="8" t="n">
        <v>187.4</v>
      </c>
      <c r="D56" s="1" t="n">
        <v>579.45</v>
      </c>
      <c r="E56" s="1" t="n">
        <v>688.42</v>
      </c>
      <c r="F56" s="1" t="n">
        <v>108.97</v>
      </c>
      <c r="G56" s="1" t="n">
        <v>571.66194</v>
      </c>
      <c r="H56" s="1" t="n">
        <v>604.3</v>
      </c>
      <c r="I56" s="3" t="n">
        <f aca="false">G56-H56</f>
        <v>-32.63806</v>
      </c>
      <c r="J56" s="1" t="n">
        <v>36.73130434783</v>
      </c>
      <c r="K56" s="1" t="n">
        <v>57.9967984722541</v>
      </c>
      <c r="L56" s="3" t="n">
        <f aca="false">B56*54.2221/B$137</f>
        <v>42.1117318846658</v>
      </c>
      <c r="M56" s="3" t="n">
        <f aca="false">C56*100/C$137</f>
        <v>85.5008919650149</v>
      </c>
      <c r="N56" s="3" t="n">
        <f aca="false">L56/M56</f>
        <v>0.492529737606679</v>
      </c>
      <c r="O56" s="1" t="n">
        <v>688.42303448686</v>
      </c>
      <c r="P56" s="1" t="n">
        <v>149.02849866</v>
      </c>
      <c r="Q56" s="1" t="n">
        <v>494.52822582686</v>
      </c>
      <c r="R56" s="1" t="n">
        <v>280.36309603686</v>
      </c>
    </row>
    <row r="57" customFormat="false" ht="15" hidden="false" customHeight="false" outlineLevel="0" collapsed="false">
      <c r="A57" s="5" t="n">
        <v>38078</v>
      </c>
      <c r="B57" s="6" t="n">
        <v>67.302340561907</v>
      </c>
      <c r="C57" s="8" t="n">
        <v>188</v>
      </c>
      <c r="D57" s="1" t="n">
        <v>609.28</v>
      </c>
      <c r="E57" s="1" t="n">
        <v>717.01</v>
      </c>
      <c r="F57" s="1" t="n">
        <v>107.73</v>
      </c>
      <c r="G57" s="1" t="n">
        <v>653.63471</v>
      </c>
      <c r="H57" s="1" t="n">
        <v>686</v>
      </c>
      <c r="I57" s="3" t="n">
        <f aca="false">G57-H57</f>
        <v>-32.3652900000001</v>
      </c>
      <c r="J57" s="1" t="n">
        <v>36.70523809524</v>
      </c>
      <c r="K57" s="1" t="n">
        <v>58.3754586984188</v>
      </c>
      <c r="L57" s="3" t="n">
        <f aca="false">B57*54.2221/B$137</f>
        <v>42.3866787496598</v>
      </c>
      <c r="M57" s="3" t="n">
        <f aca="false">C57*100/C$137</f>
        <v>85.7746408186916</v>
      </c>
      <c r="N57" s="3" t="n">
        <f aca="false">L57/M57</f>
        <v>0.494163290514451</v>
      </c>
      <c r="O57" s="1" t="n">
        <v>717.017148727265</v>
      </c>
      <c r="P57" s="1" t="n">
        <v>127.707</v>
      </c>
      <c r="Q57" s="1" t="n">
        <v>585.680486727265</v>
      </c>
      <c r="R57" s="1" t="n">
        <v>437.419835903373</v>
      </c>
    </row>
    <row r="58" customFormat="false" ht="15" hidden="false" customHeight="false" outlineLevel="0" collapsed="false">
      <c r="A58" s="5" t="n">
        <v>38108</v>
      </c>
      <c r="B58" s="6" t="n">
        <v>66.9823363287317</v>
      </c>
      <c r="C58" s="8" t="n">
        <v>189.1</v>
      </c>
      <c r="D58" s="1" t="n">
        <v>659.11</v>
      </c>
      <c r="E58" s="1" t="n">
        <v>683.62</v>
      </c>
      <c r="F58" s="1" t="n">
        <v>24.51</v>
      </c>
      <c r="G58" s="1" t="n">
        <v>687.94955</v>
      </c>
      <c r="H58" s="1" t="n">
        <v>532.8</v>
      </c>
      <c r="I58" s="3" t="n">
        <f aca="false">G58-H58</f>
        <v>155.14955</v>
      </c>
      <c r="J58" s="1" t="n">
        <v>40.285</v>
      </c>
      <c r="K58" s="1" t="n">
        <v>58.0978993484603</v>
      </c>
      <c r="L58" s="3" t="n">
        <f aca="false">B58*54.2221/B$137</f>
        <v>42.1851416780381</v>
      </c>
      <c r="M58" s="3" t="n">
        <f aca="false">C58*100/C$137</f>
        <v>86.2765137170988</v>
      </c>
      <c r="N58" s="3" t="n">
        <f aca="false">L58/M58</f>
        <v>0.488952785185125</v>
      </c>
      <c r="O58" s="1" t="n">
        <v>683.618098972435</v>
      </c>
      <c r="P58" s="1" t="n">
        <v>195.8112</v>
      </c>
      <c r="Q58" s="1" t="n">
        <v>458.830328972435</v>
      </c>
      <c r="R58" s="1" t="n">
        <v>269.051423502435</v>
      </c>
    </row>
    <row r="59" customFormat="false" ht="15" hidden="false" customHeight="false" outlineLevel="0" collapsed="false">
      <c r="A59" s="5" t="n">
        <v>38139</v>
      </c>
      <c r="B59" s="6" t="n">
        <v>66.7761953218629</v>
      </c>
      <c r="C59" s="8" t="n">
        <v>189.7</v>
      </c>
      <c r="D59" s="1" t="n">
        <v>593.34</v>
      </c>
      <c r="E59" s="1" t="n">
        <v>646.21</v>
      </c>
      <c r="F59" s="1" t="n">
        <v>52.87</v>
      </c>
      <c r="G59" s="1" t="n">
        <v>646.16979</v>
      </c>
      <c r="H59" s="1" t="n">
        <v>608.4</v>
      </c>
      <c r="I59" s="3" t="n">
        <f aca="false">G59-H59</f>
        <v>37.7697900000001</v>
      </c>
      <c r="J59" s="1" t="n">
        <v>38.03095238095</v>
      </c>
      <c r="K59" s="1" t="n">
        <v>57.9191005766486</v>
      </c>
      <c r="L59" s="3" t="n">
        <f aca="false">B59*54.2221/B$137</f>
        <v>42.0553150990168</v>
      </c>
      <c r="M59" s="3" t="n">
        <f aca="false">C59*100/C$137</f>
        <v>86.5502625707755</v>
      </c>
      <c r="N59" s="3" t="n">
        <f aca="false">L59/M59</f>
        <v>0.485906268217575</v>
      </c>
      <c r="O59" s="1" t="n">
        <v>646.21448521747</v>
      </c>
      <c r="P59" s="1" t="n">
        <v>177.462</v>
      </c>
      <c r="Q59" s="1" t="n">
        <v>442.328586288638</v>
      </c>
      <c r="R59" s="1" t="n">
        <v>267.684525490027</v>
      </c>
    </row>
    <row r="60" customFormat="false" ht="15" hidden="false" customHeight="false" outlineLevel="0" collapsed="false">
      <c r="A60" s="5" t="n">
        <v>38169</v>
      </c>
      <c r="B60" s="6" t="n">
        <v>66.3649925804148</v>
      </c>
      <c r="C60" s="8" t="n">
        <v>189.4</v>
      </c>
      <c r="D60" s="1" t="n">
        <v>561.05</v>
      </c>
      <c r="E60" s="1" t="n">
        <v>675.54</v>
      </c>
      <c r="F60" s="1" t="n">
        <v>114.49</v>
      </c>
      <c r="G60" s="1" t="n">
        <v>638.78026</v>
      </c>
      <c r="H60" s="1" t="n">
        <v>631.4</v>
      </c>
      <c r="I60" s="3" t="n">
        <f aca="false">G60-H60</f>
        <v>7.38026000000002</v>
      </c>
      <c r="J60" s="1" t="n">
        <v>40.8219047619</v>
      </c>
      <c r="K60" s="1" t="n">
        <v>57.5624391522513</v>
      </c>
      <c r="L60" s="3" t="n">
        <f aca="false">B60*54.2221/B$137</f>
        <v>41.7963416612846</v>
      </c>
      <c r="M60" s="3" t="n">
        <f aca="false">C60*100/C$137</f>
        <v>86.4133881439371</v>
      </c>
      <c r="N60" s="3" t="n">
        <f aca="false">L60/M60</f>
        <v>0.483679005753891</v>
      </c>
      <c r="O60" s="1" t="n">
        <v>675.543334571951</v>
      </c>
      <c r="P60" s="1" t="n">
        <v>205.064</v>
      </c>
      <c r="Q60" s="1" t="n">
        <v>483.676721571951</v>
      </c>
      <c r="R60" s="1" t="n">
        <v>325.229957271138</v>
      </c>
    </row>
    <row r="61" customFormat="false" ht="15" hidden="false" customHeight="false" outlineLevel="0" collapsed="false">
      <c r="A61" s="5" t="n">
        <v>38200</v>
      </c>
      <c r="B61" s="6" t="n">
        <v>66.3828005731522</v>
      </c>
      <c r="C61" s="8" t="n">
        <v>189.5</v>
      </c>
      <c r="D61" s="1" t="n">
        <v>680.05</v>
      </c>
      <c r="E61" s="1" t="n">
        <v>724.22</v>
      </c>
      <c r="F61" s="1" t="n">
        <v>44.17</v>
      </c>
      <c r="G61" s="1" t="n">
        <v>716.93879</v>
      </c>
      <c r="H61" s="1" t="n">
        <v>639.6</v>
      </c>
      <c r="I61" s="3" t="n">
        <f aca="false">G61-H61</f>
        <v>77.33879</v>
      </c>
      <c r="J61" s="1" t="n">
        <v>44.92363636364</v>
      </c>
      <c r="K61" s="1" t="n">
        <v>57.5778851194475</v>
      </c>
      <c r="L61" s="3" t="n">
        <f aca="false">B61*54.2221/B$137</f>
        <v>41.8075570463816</v>
      </c>
      <c r="M61" s="3" t="n">
        <f aca="false">C61*100/C$137</f>
        <v>86.4590129528833</v>
      </c>
      <c r="N61" s="3" t="n">
        <f aca="false">L61/M61</f>
        <v>0.483553485270126</v>
      </c>
      <c r="O61" s="1" t="n">
        <v>724.21677161279</v>
      </c>
      <c r="P61" s="1" t="n">
        <v>193.062702</v>
      </c>
      <c r="Q61" s="1" t="n">
        <v>489.05582461279</v>
      </c>
      <c r="R61" s="1" t="n">
        <v>280.90174211279</v>
      </c>
    </row>
    <row r="62" customFormat="false" ht="15" hidden="false" customHeight="false" outlineLevel="0" collapsed="false">
      <c r="A62" s="5" t="n">
        <v>38231</v>
      </c>
      <c r="B62" s="6" t="n">
        <v>66.5349779656573</v>
      </c>
      <c r="C62" s="8" t="n">
        <v>189.9</v>
      </c>
      <c r="D62" s="1" t="n">
        <v>594.34</v>
      </c>
      <c r="E62" s="1" t="n">
        <v>768.07</v>
      </c>
      <c r="F62" s="1" t="n">
        <v>173.73</v>
      </c>
      <c r="G62" s="1" t="n">
        <v>681.99479</v>
      </c>
      <c r="H62" s="1" t="n">
        <v>643.9</v>
      </c>
      <c r="I62" s="3" t="n">
        <f aca="false">G62-H62</f>
        <v>38.0947900000001</v>
      </c>
      <c r="J62" s="1" t="n">
        <v>45.93047619048</v>
      </c>
      <c r="K62" s="1" t="n">
        <v>57.7098779300519</v>
      </c>
      <c r="L62" s="3" t="n">
        <f aca="false">B62*54.2221/B$137</f>
        <v>41.9033976099523</v>
      </c>
      <c r="M62" s="3" t="n">
        <f aca="false">C62*100/C$137</f>
        <v>86.6415121886677</v>
      </c>
      <c r="N62" s="3" t="n">
        <f aca="false">L62/M62</f>
        <v>0.483641115574078</v>
      </c>
      <c r="O62" s="1" t="n">
        <v>768.066820469663</v>
      </c>
      <c r="P62" s="1" t="n">
        <v>212.727513</v>
      </c>
      <c r="Q62" s="1" t="n">
        <v>526.452425469663</v>
      </c>
      <c r="R62" s="1" t="n">
        <v>304.969786469663</v>
      </c>
    </row>
    <row r="63" customFormat="false" ht="15" hidden="false" customHeight="false" outlineLevel="0" collapsed="false">
      <c r="A63" s="5" t="n">
        <v>38261</v>
      </c>
      <c r="B63" s="6" t="n">
        <v>66.7216920713611</v>
      </c>
      <c r="C63" s="8" t="n">
        <v>190.9</v>
      </c>
      <c r="D63" s="1" t="n">
        <v>579.98</v>
      </c>
      <c r="E63" s="1" t="n">
        <v>745.77</v>
      </c>
      <c r="F63" s="1" t="n">
        <v>165.79</v>
      </c>
      <c r="G63" s="1" t="n">
        <v>770.5319</v>
      </c>
      <c r="H63" s="1" t="n">
        <v>707.9</v>
      </c>
      <c r="I63" s="3" t="n">
        <f aca="false">G63-H63</f>
        <v>62.6319000000001</v>
      </c>
      <c r="J63" s="1" t="n">
        <v>53.24619047619</v>
      </c>
      <c r="K63" s="1" t="n">
        <v>57.871826555834</v>
      </c>
      <c r="L63" s="3" t="n">
        <f aca="false">B63*54.2221/B$137</f>
        <v>42.0209892234151</v>
      </c>
      <c r="M63" s="3" t="n">
        <f aca="false">C63*100/C$137</f>
        <v>87.0977602781288</v>
      </c>
      <c r="N63" s="3" t="n">
        <f aca="false">L63/M63</f>
        <v>0.482457747354578</v>
      </c>
      <c r="O63" s="1" t="n">
        <v>745.771281217637</v>
      </c>
      <c r="P63" s="1" t="n">
        <v>219.97</v>
      </c>
      <c r="Q63" s="1" t="n">
        <v>513.990166966348</v>
      </c>
      <c r="R63" s="1" t="n">
        <v>291.869166966348</v>
      </c>
    </row>
    <row r="64" customFormat="false" ht="15" hidden="false" customHeight="false" outlineLevel="0" collapsed="false">
      <c r="A64" s="5" t="n">
        <v>38292</v>
      </c>
      <c r="B64" s="6" t="n">
        <v>67.0012235937587</v>
      </c>
      <c r="C64" s="8" t="n">
        <v>191</v>
      </c>
      <c r="D64" s="1" t="n">
        <v>632.83</v>
      </c>
      <c r="E64" s="1" t="n">
        <v>713.26</v>
      </c>
      <c r="F64" s="1" t="n">
        <v>80.43</v>
      </c>
      <c r="G64" s="1" t="n">
        <v>638.74423</v>
      </c>
      <c r="H64" s="1" t="n">
        <v>718.3</v>
      </c>
      <c r="I64" s="3" t="n">
        <f aca="false">G64-H64</f>
        <v>-79.5557699999999</v>
      </c>
      <c r="J64" s="1" t="n">
        <v>48.4465</v>
      </c>
      <c r="K64" s="1" t="n">
        <v>58.1142814348826</v>
      </c>
      <c r="L64" s="3" t="n">
        <f aca="false">B64*54.2221/B$137</f>
        <v>42.1970367834456</v>
      </c>
      <c r="M64" s="3" t="n">
        <f aca="false">C64*100/C$137</f>
        <v>87.143385087075</v>
      </c>
      <c r="N64" s="3" t="n">
        <f aca="false">L64/M64</f>
        <v>0.484225357338158</v>
      </c>
      <c r="O64" s="1" t="n">
        <v>713.265873990085</v>
      </c>
      <c r="P64" s="1" t="n">
        <v>209.044</v>
      </c>
      <c r="Q64" s="1" t="n">
        <v>485.972087754056</v>
      </c>
      <c r="R64" s="1" t="n">
        <v>305.70673551252</v>
      </c>
    </row>
    <row r="65" customFormat="false" ht="15" hidden="false" customHeight="false" outlineLevel="0" collapsed="false">
      <c r="A65" s="5" t="n">
        <v>38322</v>
      </c>
      <c r="B65" s="6" t="n">
        <v>66.9580527022704</v>
      </c>
      <c r="C65" s="8" t="n">
        <v>190.3</v>
      </c>
      <c r="D65" s="1" t="n">
        <v>950.2</v>
      </c>
      <c r="E65" s="1" t="n">
        <v>660.22</v>
      </c>
      <c r="F65" s="1" t="n">
        <v>-289.98</v>
      </c>
      <c r="G65" s="1" t="n">
        <v>627.58346</v>
      </c>
      <c r="H65" s="1" t="n">
        <v>773.4</v>
      </c>
      <c r="I65" s="3" t="n">
        <f aca="false">G65-H65</f>
        <v>-145.81654</v>
      </c>
      <c r="J65" s="1" t="n">
        <v>43.22904761905</v>
      </c>
      <c r="K65" s="1" t="n">
        <v>58.0768366659191</v>
      </c>
      <c r="L65" s="3" t="n">
        <f aca="false">B65*54.2221/B$137</f>
        <v>42.1698479710868</v>
      </c>
      <c r="M65" s="3" t="n">
        <f aca="false">C65*100/C$137</f>
        <v>86.8240114244522</v>
      </c>
      <c r="N65" s="3" t="n">
        <f aca="false">L65/M65</f>
        <v>0.48569338457461</v>
      </c>
      <c r="O65" s="1" t="n">
        <v>660.214189055765</v>
      </c>
      <c r="P65" s="1" t="n">
        <v>144.678</v>
      </c>
      <c r="Q65" s="1" t="n">
        <v>523.036377343711</v>
      </c>
      <c r="R65" s="1" t="n">
        <v>305.781985081806</v>
      </c>
    </row>
    <row r="66" customFormat="false" ht="15" hidden="false" customHeight="false" outlineLevel="0" collapsed="false">
      <c r="A66" s="5" t="n">
        <v>38353</v>
      </c>
      <c r="B66" s="6" t="n">
        <v>67.1219175948688</v>
      </c>
      <c r="C66" s="8" t="n">
        <v>190.7</v>
      </c>
      <c r="D66" s="1" t="n">
        <v>572.5</v>
      </c>
      <c r="E66" s="1" t="n">
        <v>701.35</v>
      </c>
      <c r="F66" s="1" t="n">
        <v>128.85</v>
      </c>
      <c r="G66" s="1" t="n">
        <v>690.98064</v>
      </c>
      <c r="H66" s="1" t="n">
        <v>747.9</v>
      </c>
      <c r="I66" s="3" t="n">
        <f aca="false">G66-H66</f>
        <v>-56.91936</v>
      </c>
      <c r="J66" s="1" t="n">
        <v>46.82</v>
      </c>
      <c r="K66" s="1" t="n">
        <v>58.2189667640722</v>
      </c>
      <c r="L66" s="3" t="n">
        <f aca="false">B66*54.2221/B$137</f>
        <v>42.2730492639827</v>
      </c>
      <c r="M66" s="3" t="n">
        <f aca="false">C66*100/C$137</f>
        <v>87.0065106602366</v>
      </c>
      <c r="N66" s="3" t="n">
        <f aca="false">L66/M66</f>
        <v>0.48586075850186</v>
      </c>
      <c r="O66" s="1" t="n">
        <v>701.350569047806</v>
      </c>
      <c r="P66" s="1" t="n">
        <v>137.613999543945</v>
      </c>
      <c r="Q66" s="1" t="n">
        <v>553.847569503861</v>
      </c>
      <c r="R66" s="1" t="n">
        <v>362.993204687806</v>
      </c>
    </row>
    <row r="67" customFormat="false" ht="15" hidden="false" customHeight="false" outlineLevel="0" collapsed="false">
      <c r="A67" s="5" t="n">
        <v>38384</v>
      </c>
      <c r="B67" s="6" t="n">
        <v>67.3046130616965</v>
      </c>
      <c r="C67" s="8" t="n">
        <v>191.8</v>
      </c>
      <c r="D67" s="1" t="n">
        <v>724.38</v>
      </c>
      <c r="E67" s="1" t="n">
        <v>639.1</v>
      </c>
      <c r="F67" s="1" t="n">
        <v>-85.28</v>
      </c>
      <c r="G67" s="1" t="n">
        <v>690.08969</v>
      </c>
      <c r="H67" s="1" t="n">
        <v>675.7</v>
      </c>
      <c r="I67" s="3" t="n">
        <f aca="false">G67-H67</f>
        <v>14.3896899999999</v>
      </c>
      <c r="J67" s="1" t="n">
        <v>47.96263157895</v>
      </c>
      <c r="K67" s="1" t="n">
        <v>58.3774297772326</v>
      </c>
      <c r="L67" s="3" t="n">
        <f aca="false">B67*54.2221/B$137</f>
        <v>42.3881099587044</v>
      </c>
      <c r="M67" s="3" t="n">
        <f aca="false">C67*100/C$137</f>
        <v>87.5083835586438</v>
      </c>
      <c r="N67" s="3" t="n">
        <f aca="false">L67/M67</f>
        <v>0.484389132045822</v>
      </c>
      <c r="O67" s="1" t="n">
        <v>639.0993048355</v>
      </c>
      <c r="P67" s="1" t="n">
        <v>153.23500002842</v>
      </c>
      <c r="Q67" s="1" t="n">
        <v>418.376404807079</v>
      </c>
      <c r="R67" s="1" t="n">
        <v>264.692506228833</v>
      </c>
    </row>
    <row r="68" customFormat="false" ht="15" hidden="false" customHeight="false" outlineLevel="0" collapsed="false">
      <c r="A68" s="5" t="n">
        <v>38412</v>
      </c>
      <c r="B68" s="6" t="n">
        <v>67.4818735473311</v>
      </c>
      <c r="C68" s="8" t="n">
        <v>193.3</v>
      </c>
      <c r="D68" s="1" t="n">
        <v>662.4</v>
      </c>
      <c r="E68" s="1" t="n">
        <v>672.14</v>
      </c>
      <c r="F68" s="1" t="n">
        <v>9.74</v>
      </c>
      <c r="G68" s="1" t="n">
        <v>840.6269</v>
      </c>
      <c r="H68" s="1" t="n">
        <v>756.4</v>
      </c>
      <c r="I68" s="3" t="n">
        <f aca="false">G68-H68</f>
        <v>84.2269</v>
      </c>
      <c r="J68" s="1" t="n">
        <v>54.16818181818</v>
      </c>
      <c r="K68" s="1" t="n">
        <v>58.5311786969823</v>
      </c>
      <c r="L68" s="3" t="n">
        <f aca="false">B68*54.2221/B$137</f>
        <v>42.4997477293506</v>
      </c>
      <c r="M68" s="3" t="n">
        <f aca="false">C68*100/C$137</f>
        <v>88.1927556928355</v>
      </c>
      <c r="N68" s="3" t="n">
        <f aca="false">L68/M68</f>
        <v>0.481896130758993</v>
      </c>
      <c r="O68" s="1" t="n">
        <v>672.141532098022</v>
      </c>
      <c r="P68" s="1" t="n">
        <v>141.096</v>
      </c>
      <c r="Q68" s="1" t="n">
        <v>521.781532098022</v>
      </c>
      <c r="R68" s="1" t="n">
        <v>299.233682738022</v>
      </c>
    </row>
    <row r="69" customFormat="false" ht="15" hidden="false" customHeight="false" outlineLevel="0" collapsed="false">
      <c r="A69" s="5" t="n">
        <v>38443</v>
      </c>
      <c r="B69" s="6" t="n">
        <v>68.0469600328975</v>
      </c>
      <c r="C69" s="8" t="n">
        <v>194.6</v>
      </c>
      <c r="D69" s="1" t="n">
        <v>624.32</v>
      </c>
      <c r="E69" s="1" t="n">
        <v>998.63</v>
      </c>
      <c r="F69" s="1" t="n">
        <v>374.31</v>
      </c>
      <c r="G69" s="1" t="n">
        <v>805.70423</v>
      </c>
      <c r="H69" s="1" t="n">
        <v>693.9</v>
      </c>
      <c r="I69" s="3" t="n">
        <f aca="false">G69-H69</f>
        <v>111.80423</v>
      </c>
      <c r="J69" s="1" t="n">
        <v>52.96285714286</v>
      </c>
      <c r="K69" s="1" t="n">
        <v>59.0213129556694</v>
      </c>
      <c r="L69" s="3" t="n">
        <f aca="false">B69*54.2221/B$137</f>
        <v>42.8556363823974</v>
      </c>
      <c r="M69" s="3" t="n">
        <f aca="false">C69*100/C$137</f>
        <v>88.785878209135</v>
      </c>
      <c r="N69" s="3" t="n">
        <f aca="false">L69/M69</f>
        <v>0.482685278862152</v>
      </c>
      <c r="O69" s="1" t="n">
        <v>998.631345479259</v>
      </c>
      <c r="P69" s="1" t="n">
        <v>210.174</v>
      </c>
      <c r="Q69" s="1" t="n">
        <v>794.888605480824</v>
      </c>
      <c r="R69" s="1" t="n">
        <v>627.155341564157</v>
      </c>
    </row>
    <row r="70" customFormat="false" ht="15" hidden="false" customHeight="false" outlineLevel="0" collapsed="false">
      <c r="A70" s="5" t="n">
        <v>38473</v>
      </c>
      <c r="B70" s="6" t="n">
        <v>68.1661192519189</v>
      </c>
      <c r="C70" s="8" t="n">
        <v>194.4</v>
      </c>
      <c r="D70" s="1" t="n">
        <v>733.19</v>
      </c>
      <c r="E70" s="1" t="n">
        <v>737.91</v>
      </c>
      <c r="F70" s="1" t="n">
        <v>4.72</v>
      </c>
      <c r="G70" s="1" t="n">
        <v>790.22393</v>
      </c>
      <c r="H70" s="1" t="n">
        <v>831.6</v>
      </c>
      <c r="I70" s="3" t="n">
        <f aca="false">G70-H70</f>
        <v>-41.3760700000001</v>
      </c>
      <c r="J70" s="1" t="n">
        <v>49.81380952381</v>
      </c>
      <c r="K70" s="1" t="n">
        <v>59.1246670739727</v>
      </c>
      <c r="L70" s="3" t="n">
        <f aca="false">B70*54.2221/B$137</f>
        <v>42.9306822648222</v>
      </c>
      <c r="M70" s="3" t="n">
        <f aca="false">C70*100/C$137</f>
        <v>88.6946285912428</v>
      </c>
      <c r="N70" s="3" t="n">
        <f aca="false">L70/M70</f>
        <v>0.484027983956866</v>
      </c>
      <c r="O70" s="1" t="n">
        <v>737.903253163005</v>
      </c>
      <c r="P70" s="1" t="n">
        <v>182.71054117</v>
      </c>
      <c r="Q70" s="1" t="n">
        <v>522.751111993005</v>
      </c>
      <c r="R70" s="1" t="n">
        <v>321.908069996338</v>
      </c>
    </row>
    <row r="71" customFormat="false" ht="15" hidden="false" customHeight="false" outlineLevel="0" collapsed="false">
      <c r="A71" s="5" t="n">
        <v>38504</v>
      </c>
      <c r="B71" s="6" t="n">
        <v>68.2145671907777</v>
      </c>
      <c r="C71" s="8" t="n">
        <v>194.5</v>
      </c>
      <c r="D71" s="1" t="n">
        <v>568.69</v>
      </c>
      <c r="E71" s="1" t="n">
        <v>691.54</v>
      </c>
      <c r="F71" s="1" t="n">
        <v>122.85</v>
      </c>
      <c r="G71" s="1" t="n">
        <v>877.59143</v>
      </c>
      <c r="H71" s="1" t="n">
        <v>842.8</v>
      </c>
      <c r="I71" s="3" t="n">
        <f aca="false">G71-H71</f>
        <v>34.79143</v>
      </c>
      <c r="J71" s="1" t="n">
        <v>56.38909090909</v>
      </c>
      <c r="K71" s="1" t="n">
        <v>59.1666889506305</v>
      </c>
      <c r="L71" s="3" t="n">
        <f aca="false">B71*54.2221/B$137</f>
        <v>42.961194535322</v>
      </c>
      <c r="M71" s="3" t="n">
        <f aca="false">C71*100/C$137</f>
        <v>88.7402534001889</v>
      </c>
      <c r="N71" s="3" t="n">
        <f aca="false">L71/M71</f>
        <v>0.484122964373127</v>
      </c>
      <c r="O71" s="1" t="n">
        <v>691.543105157212</v>
      </c>
      <c r="P71" s="1" t="n">
        <v>206.809</v>
      </c>
      <c r="Q71" s="1" t="n">
        <v>489.895105157212</v>
      </c>
      <c r="R71" s="1" t="n">
        <v>303.876925770546</v>
      </c>
    </row>
    <row r="72" customFormat="false" ht="15" hidden="false" customHeight="false" outlineLevel="0" collapsed="false">
      <c r="A72" s="5" t="n">
        <v>38534</v>
      </c>
      <c r="B72" s="6" t="n">
        <v>68.108353243615</v>
      </c>
      <c r="C72" s="8" t="n">
        <v>195.4</v>
      </c>
      <c r="D72" s="1" t="n">
        <v>657.01</v>
      </c>
      <c r="E72" s="1" t="n">
        <v>856.67</v>
      </c>
      <c r="F72" s="1" t="n">
        <v>199.66</v>
      </c>
      <c r="G72" s="1" t="n">
        <v>835.83857</v>
      </c>
      <c r="H72" s="1" t="n">
        <v>760</v>
      </c>
      <c r="I72" s="3" t="n">
        <f aca="false">G72-H72</f>
        <v>75.8385700000001</v>
      </c>
      <c r="J72" s="1" t="n">
        <v>58.666</v>
      </c>
      <c r="K72" s="1" t="n">
        <v>59.0745630626744</v>
      </c>
      <c r="L72" s="3" t="n">
        <f aca="false">B72*54.2221/B$137</f>
        <v>42.8943015206135</v>
      </c>
      <c r="M72" s="3" t="n">
        <f aca="false">C72*100/C$137</f>
        <v>89.1508766807039</v>
      </c>
      <c r="N72" s="3" t="n">
        <f aca="false">L72/M72</f>
        <v>0.481142789815074</v>
      </c>
      <c r="O72" s="1" t="n">
        <v>856.671391330808</v>
      </c>
      <c r="P72" s="1" t="n">
        <v>258.008</v>
      </c>
      <c r="Q72" s="1" t="n">
        <v>603.138819956734</v>
      </c>
      <c r="R72" s="1" t="n">
        <v>399.517279350067</v>
      </c>
    </row>
    <row r="73" customFormat="false" ht="15" hidden="false" customHeight="false" outlineLevel="0" collapsed="false">
      <c r="A73" s="5" t="n">
        <v>38565</v>
      </c>
      <c r="B73" s="6" t="n">
        <v>68.0087117690542</v>
      </c>
      <c r="C73" s="8" t="n">
        <v>196.4</v>
      </c>
      <c r="D73" s="1" t="n">
        <v>787.89</v>
      </c>
      <c r="E73" s="1" t="n">
        <v>773.06</v>
      </c>
      <c r="F73" s="1" t="n">
        <v>-14.83</v>
      </c>
      <c r="G73" s="1" t="n">
        <v>918.87716</v>
      </c>
      <c r="H73" s="1" t="n">
        <v>781.9</v>
      </c>
      <c r="I73" s="3" t="n">
        <f aca="false">G73-H73</f>
        <v>136.97716</v>
      </c>
      <c r="J73" s="1" t="n">
        <v>64.95565217391</v>
      </c>
      <c r="K73" s="1" t="n">
        <v>58.9881378843773</v>
      </c>
      <c r="L73" s="3" t="n">
        <f aca="false">B73*54.2221/B$137</f>
        <v>42.8315478164022</v>
      </c>
      <c r="M73" s="3" t="n">
        <f aca="false">C73*100/C$137</f>
        <v>89.607124770165</v>
      </c>
      <c r="N73" s="3" t="n">
        <f aca="false">L73/M73</f>
        <v>0.477992658800979</v>
      </c>
      <c r="O73" s="1" t="n">
        <v>773.052990564039</v>
      </c>
      <c r="P73" s="1" t="n">
        <v>225.736</v>
      </c>
      <c r="Q73" s="1" t="n">
        <v>532.252062074724</v>
      </c>
      <c r="R73" s="1" t="n">
        <v>321.618494628058</v>
      </c>
    </row>
    <row r="74" customFormat="false" ht="15" hidden="false" customHeight="false" outlineLevel="0" collapsed="false">
      <c r="A74" s="5" t="n">
        <v>38596</v>
      </c>
      <c r="B74" s="6" t="n">
        <v>68.4960801627488</v>
      </c>
      <c r="C74" s="8" t="n">
        <v>198.8</v>
      </c>
      <c r="D74" s="1" t="n">
        <v>963.74</v>
      </c>
      <c r="E74" s="1" t="n">
        <v>749.33</v>
      </c>
      <c r="F74" s="1" t="n">
        <v>-214.41</v>
      </c>
      <c r="G74" s="1" t="n">
        <v>930.12781</v>
      </c>
      <c r="H74" s="1" t="n">
        <v>798</v>
      </c>
      <c r="I74" s="3" t="n">
        <f aca="false">G74-H74</f>
        <v>132.12781</v>
      </c>
      <c r="J74" s="1" t="n">
        <v>65.5380952381</v>
      </c>
      <c r="K74" s="1" t="n">
        <v>59.4108624627427</v>
      </c>
      <c r="L74" s="3" t="n">
        <f aca="false">B74*54.2221/B$137</f>
        <v>43.1384900024213</v>
      </c>
      <c r="M74" s="3" t="n">
        <f aca="false">C74*100/C$137</f>
        <v>90.7021201848717</v>
      </c>
      <c r="N74" s="3" t="n">
        <f aca="false">L74/M74</f>
        <v>0.475606192165025</v>
      </c>
      <c r="O74" s="1" t="n">
        <v>749.333158932208</v>
      </c>
      <c r="P74" s="1" t="n">
        <v>156.458</v>
      </c>
      <c r="Q74" s="1" t="n">
        <v>627.624855757209</v>
      </c>
      <c r="R74" s="1" t="n">
        <v>391.897322790543</v>
      </c>
    </row>
    <row r="75" customFormat="false" ht="15" hidden="false" customHeight="false" outlineLevel="0" collapsed="false">
      <c r="A75" s="5" t="n">
        <v>38626</v>
      </c>
      <c r="B75" s="6" t="n">
        <v>68.7357768609902</v>
      </c>
      <c r="C75" s="8" t="n">
        <v>199.2</v>
      </c>
      <c r="D75" s="1" t="n">
        <v>718.31</v>
      </c>
      <c r="E75" s="1" t="n">
        <v>760.33</v>
      </c>
      <c r="F75" s="1" t="n">
        <v>42.02</v>
      </c>
      <c r="G75" s="1" t="n">
        <v>841.43997</v>
      </c>
      <c r="H75" s="1" t="n">
        <v>928.5</v>
      </c>
      <c r="I75" s="3" t="n">
        <f aca="false">G75-H75</f>
        <v>-87.06003</v>
      </c>
      <c r="J75" s="1" t="n">
        <v>62.36380952381</v>
      </c>
      <c r="K75" s="1" t="n">
        <v>59.6187661491749</v>
      </c>
      <c r="L75" s="3" t="n">
        <f aca="false">B75*54.2221/B$137</f>
        <v>43.2894497886766</v>
      </c>
      <c r="M75" s="3" t="n">
        <f aca="false">C75*100/C$137</f>
        <v>90.8846194206562</v>
      </c>
      <c r="N75" s="3" t="n">
        <f aca="false">L75/M75</f>
        <v>0.476312164419295</v>
      </c>
      <c r="O75" s="1" t="n">
        <v>760.336089694031</v>
      </c>
      <c r="P75" s="1" t="n">
        <v>257.45511434</v>
      </c>
      <c r="Q75" s="1" t="n">
        <v>596.640835060771</v>
      </c>
      <c r="R75" s="1" t="n">
        <v>336.444284148549</v>
      </c>
    </row>
    <row r="76" customFormat="false" ht="15" hidden="false" customHeight="false" outlineLevel="0" collapsed="false">
      <c r="A76" s="5" t="n">
        <v>38657</v>
      </c>
      <c r="B76" s="6" t="n">
        <v>68.8513631054846</v>
      </c>
      <c r="C76" s="8" t="n">
        <v>197.6</v>
      </c>
      <c r="D76" s="1" t="n">
        <v>753.48</v>
      </c>
      <c r="E76" s="1" t="n">
        <v>761.15</v>
      </c>
      <c r="F76" s="1" t="n">
        <v>7.67</v>
      </c>
      <c r="G76" s="1" t="n">
        <v>897.14044</v>
      </c>
      <c r="H76" s="1" t="n">
        <v>972.7</v>
      </c>
      <c r="I76" s="3" t="n">
        <f aca="false">G76-H76</f>
        <v>-75.5595600000002</v>
      </c>
      <c r="J76" s="1" t="n">
        <v>58.283</v>
      </c>
      <c r="K76" s="1" t="n">
        <v>59.7190212069523</v>
      </c>
      <c r="L76" s="3" t="n">
        <f aca="false">B76*54.2221/B$137</f>
        <v>43.3622454295468</v>
      </c>
      <c r="M76" s="3" t="n">
        <f aca="false">C76*100/C$137</f>
        <v>90.1546224775184</v>
      </c>
      <c r="N76" s="3" t="n">
        <f aca="false">L76/M76</f>
        <v>0.480976396305801</v>
      </c>
      <c r="O76" s="1" t="n">
        <v>761.150813923639</v>
      </c>
      <c r="P76" s="1" t="n">
        <v>195.51211671</v>
      </c>
      <c r="Q76" s="1" t="n">
        <v>512.951535423704</v>
      </c>
      <c r="R76" s="1" t="n">
        <v>315.908761457037</v>
      </c>
    </row>
    <row r="77" customFormat="false" ht="15" hidden="false" customHeight="false" outlineLevel="0" collapsed="false">
      <c r="A77" s="5" t="n">
        <v>38687</v>
      </c>
      <c r="B77" s="6" t="n">
        <v>69.0566648947345</v>
      </c>
      <c r="C77" s="8" t="n">
        <v>196.8</v>
      </c>
      <c r="D77" s="1" t="n">
        <v>1113.64</v>
      </c>
      <c r="E77" s="1" t="n">
        <v>804.53</v>
      </c>
      <c r="F77" s="1" t="n">
        <v>-309.11</v>
      </c>
      <c r="G77" s="1" t="n">
        <v>981.39005</v>
      </c>
      <c r="H77" s="1" t="n">
        <v>790.7</v>
      </c>
      <c r="I77" s="3" t="n">
        <f aca="false">G77-H77</f>
        <v>190.69005</v>
      </c>
      <c r="J77" s="1" t="n">
        <v>59.41428571429</v>
      </c>
      <c r="K77" s="1" t="n">
        <v>59.8970920737158</v>
      </c>
      <c r="L77" s="3" t="n">
        <f aca="false">B77*54.2221/B$137</f>
        <v>43.4915434734932</v>
      </c>
      <c r="M77" s="3" t="n">
        <f aca="false">C77*100/C$137</f>
        <v>89.7896240059495</v>
      </c>
      <c r="N77" s="3" t="n">
        <f aca="false">L77/M77</f>
        <v>0.484371595882965</v>
      </c>
      <c r="O77" s="1" t="n">
        <v>804.530019658587</v>
      </c>
      <c r="P77" s="1" t="n">
        <v>86.7898188</v>
      </c>
      <c r="Q77" s="1" t="n">
        <v>696.370138646731</v>
      </c>
      <c r="R77" s="1" t="n">
        <v>338.035194060064</v>
      </c>
      <c r="S77" s="3" t="n">
        <f aca="false">SUM(O153:O155)</f>
        <v>0</v>
      </c>
      <c r="T77" s="3" t="n">
        <f aca="false">SUM(P153:P155)</f>
        <v>0</v>
      </c>
      <c r="U77" s="3" t="n">
        <f aca="false">SUM(Q153:Q155)</f>
        <v>0</v>
      </c>
      <c r="V77" s="3" t="n">
        <f aca="false">SUM(R153:R155)</f>
        <v>0</v>
      </c>
    </row>
    <row r="78" customFormat="false" ht="15" hidden="false" customHeight="false" outlineLevel="0" collapsed="false">
      <c r="A78" s="5" t="n">
        <v>38718</v>
      </c>
      <c r="B78" s="6" t="n">
        <v>69.3868350801482</v>
      </c>
      <c r="C78" s="8" t="n">
        <v>198.3</v>
      </c>
      <c r="D78" s="1" t="n">
        <v>591.91</v>
      </c>
      <c r="E78" s="1" t="n">
        <v>965.68</v>
      </c>
      <c r="F78" s="1" t="n">
        <v>373.77</v>
      </c>
      <c r="G78" s="1" t="n">
        <v>1023.2616</v>
      </c>
      <c r="H78" s="1" t="n">
        <v>827.8</v>
      </c>
      <c r="I78" s="3" t="n">
        <f aca="false">G78-H78</f>
        <v>195.4616</v>
      </c>
      <c r="J78" s="1" t="n">
        <v>65.4835</v>
      </c>
      <c r="K78" s="1" t="n">
        <v>60.1834689792015</v>
      </c>
      <c r="L78" s="3" t="n">
        <f aca="false">B78*54.2221/B$137</f>
        <v>43.6994830111824</v>
      </c>
      <c r="M78" s="3" t="n">
        <f aca="false">C78*100/C$137</f>
        <v>90.4739961401412</v>
      </c>
      <c r="N78" s="3" t="n">
        <f aca="false">L78/M78</f>
        <v>0.483006000348358</v>
      </c>
      <c r="O78" s="1" t="n">
        <v>965.686230908201</v>
      </c>
      <c r="P78" s="1" t="n">
        <v>291.760779543945</v>
      </c>
      <c r="Q78" s="1" t="n">
        <v>658.031293364256</v>
      </c>
      <c r="R78" s="1" t="n">
        <v>412.209430957788</v>
      </c>
    </row>
    <row r="79" customFormat="false" ht="15" hidden="false" customHeight="false" outlineLevel="0" collapsed="false">
      <c r="A79" s="5" t="n">
        <v>38749</v>
      </c>
      <c r="B79" s="6" t="n">
        <v>69.8779604040462</v>
      </c>
      <c r="C79" s="8" t="n">
        <v>198.7</v>
      </c>
      <c r="D79" s="1" t="n">
        <v>751.49</v>
      </c>
      <c r="E79" s="1" t="n">
        <v>631.88</v>
      </c>
      <c r="F79" s="1" t="n">
        <v>-119.61</v>
      </c>
      <c r="G79" s="1" t="n">
        <v>947.89876</v>
      </c>
      <c r="H79" s="1" t="n">
        <v>710.6</v>
      </c>
      <c r="I79" s="3" t="n">
        <f aca="false">G79-H79</f>
        <v>237.29876</v>
      </c>
      <c r="J79" s="1" t="n">
        <v>61.61526315789</v>
      </c>
      <c r="K79" s="1" t="n">
        <v>60.6094521741631</v>
      </c>
      <c r="L79" s="3" t="n">
        <f aca="false">B79*54.2221/B$137</f>
        <v>44.0087912931245</v>
      </c>
      <c r="M79" s="3" t="n">
        <f aca="false">C79*100/C$137</f>
        <v>90.6564953759256</v>
      </c>
      <c r="N79" s="3" t="n">
        <f aca="false">L79/M79</f>
        <v>0.485445539347546</v>
      </c>
      <c r="O79" s="1" t="n">
        <v>631.881417196163</v>
      </c>
      <c r="P79" s="1" t="n">
        <v>206.91200002842</v>
      </c>
      <c r="Q79" s="1" t="n">
        <v>425.541789167743</v>
      </c>
      <c r="R79" s="1" t="n">
        <v>251.864270189763</v>
      </c>
    </row>
    <row r="80" customFormat="false" ht="15" hidden="false" customHeight="false" outlineLevel="0" collapsed="false">
      <c r="A80" s="5" t="n">
        <v>38777</v>
      </c>
      <c r="B80" s="6" t="n">
        <v>70.3332891531239</v>
      </c>
      <c r="C80" s="8" t="n">
        <v>199.8</v>
      </c>
      <c r="D80" s="1" t="n">
        <v>872.49</v>
      </c>
      <c r="E80" s="1" t="n">
        <v>944.38</v>
      </c>
      <c r="F80" s="1" t="n">
        <v>71.89</v>
      </c>
      <c r="G80" s="1" t="n">
        <v>1058.5531</v>
      </c>
      <c r="H80" s="1" t="n">
        <v>989.9</v>
      </c>
      <c r="I80" s="3" t="n">
        <f aca="false">G80-H80</f>
        <v>68.6531000000001</v>
      </c>
      <c r="J80" s="1" t="n">
        <v>62.88956521739</v>
      </c>
      <c r="K80" s="1" t="n">
        <v>61.0043867984878</v>
      </c>
      <c r="L80" s="3" t="n">
        <f aca="false">B80*54.2221/B$137</f>
        <v>44.2955550706025</v>
      </c>
      <c r="M80" s="3" t="n">
        <f aca="false">C80*100/C$137</f>
        <v>91.1583682743328</v>
      </c>
      <c r="N80" s="3" t="n">
        <f aca="false">L80/M80</f>
        <v>0.485918691932912</v>
      </c>
      <c r="O80" s="1" t="n">
        <v>944.378810946863</v>
      </c>
      <c r="P80" s="1" t="n">
        <v>232.84808568</v>
      </c>
      <c r="Q80" s="1" t="n">
        <v>681.419263266863</v>
      </c>
      <c r="R80" s="1" t="n">
        <v>375.884325228842</v>
      </c>
      <c r="S80" s="3" t="n">
        <f aca="false">SUM(O156:O158)</f>
        <v>0</v>
      </c>
      <c r="T80" s="3" t="n">
        <f aca="false">SUM(P156:P158)</f>
        <v>0</v>
      </c>
      <c r="U80" s="3" t="n">
        <f aca="false">SUM(Q156:Q158)</f>
        <v>0</v>
      </c>
      <c r="V80" s="3" t="n">
        <f aca="false">SUM(R156:R158)</f>
        <v>0</v>
      </c>
    </row>
    <row r="81" customFormat="false" ht="15" hidden="false" customHeight="false" outlineLevel="0" collapsed="false">
      <c r="A81" s="5" t="n">
        <v>38808</v>
      </c>
      <c r="B81" s="6" t="n">
        <v>70.3814500276531</v>
      </c>
      <c r="C81" s="8" t="n">
        <v>201.5</v>
      </c>
      <c r="D81" s="1" t="n">
        <v>727.77</v>
      </c>
      <c r="E81" s="1" t="n">
        <v>1131.54</v>
      </c>
      <c r="F81" s="1" t="n">
        <v>403.77</v>
      </c>
      <c r="G81" s="1" t="n">
        <v>1176.78752</v>
      </c>
      <c r="H81" s="1" t="n">
        <v>852.1</v>
      </c>
      <c r="I81" s="3" t="n">
        <f aca="false">G81-H81</f>
        <v>324.68752</v>
      </c>
      <c r="J81" s="1" t="n">
        <v>69.41277777778</v>
      </c>
      <c r="K81" s="1" t="n">
        <v>61.0461596865996</v>
      </c>
      <c r="L81" s="3" t="n">
        <f aca="false">B81*54.2221/B$137</f>
        <v>44.3258865494177</v>
      </c>
      <c r="M81" s="3" t="n">
        <f aca="false">C81*100/C$137</f>
        <v>91.9339900264168</v>
      </c>
      <c r="N81" s="3" t="n">
        <f aca="false">L81/M81</f>
        <v>0.482149056477162</v>
      </c>
      <c r="O81" s="1" t="n">
        <v>1131.54030500246</v>
      </c>
      <c r="P81" s="1" t="n">
        <v>223.011</v>
      </c>
      <c r="Q81" s="1" t="n">
        <v>994.347305004022</v>
      </c>
      <c r="R81" s="1" t="n">
        <v>757.627687985742</v>
      </c>
    </row>
    <row r="82" customFormat="false" ht="15" hidden="false" customHeight="false" outlineLevel="0" collapsed="false">
      <c r="A82" s="5" t="n">
        <v>38838</v>
      </c>
      <c r="B82" s="6" t="n">
        <v>70.2843151519633</v>
      </c>
      <c r="C82" s="8" t="n">
        <v>202.5</v>
      </c>
      <c r="D82" s="1" t="n">
        <v>793.5</v>
      </c>
      <c r="E82" s="1" t="n">
        <v>1100.05</v>
      </c>
      <c r="F82" s="1" t="n">
        <v>306.55</v>
      </c>
      <c r="G82" s="1" t="n">
        <v>1086.76712</v>
      </c>
      <c r="H82" s="1" t="n">
        <v>1015.5</v>
      </c>
      <c r="I82" s="3" t="n">
        <f aca="false">G82-H82</f>
        <v>71.2671200000002</v>
      </c>
      <c r="J82" s="1" t="n">
        <v>70.93318181818</v>
      </c>
      <c r="K82" s="1" t="n">
        <v>60.9619086356457</v>
      </c>
      <c r="L82" s="3" t="n">
        <f aca="false">B82*54.2221/B$137</f>
        <v>44.2647114886862</v>
      </c>
      <c r="M82" s="3" t="n">
        <f aca="false">C82*100/C$137</f>
        <v>92.3902381158779</v>
      </c>
      <c r="N82" s="3" t="n">
        <f aca="false">L82/M82</f>
        <v>0.47910593577179</v>
      </c>
      <c r="O82" s="1" t="n">
        <v>1100.05158769118</v>
      </c>
      <c r="P82" s="1" t="n">
        <v>365.32688635</v>
      </c>
      <c r="Q82" s="1" t="n">
        <v>712.257701341178</v>
      </c>
      <c r="R82" s="1" t="n">
        <v>408.513255270308</v>
      </c>
    </row>
    <row r="83" customFormat="false" ht="15" hidden="false" customHeight="false" outlineLevel="0" collapsed="false">
      <c r="A83" s="5" t="n">
        <v>38869</v>
      </c>
      <c r="B83" s="6" t="n">
        <v>70.1226923726597</v>
      </c>
      <c r="C83" s="8" t="n">
        <v>202.9</v>
      </c>
      <c r="D83" s="1" t="n">
        <v>822.22</v>
      </c>
      <c r="E83" s="1" t="n">
        <v>867.05</v>
      </c>
      <c r="F83" s="1" t="n">
        <v>44.83</v>
      </c>
      <c r="G83" s="1" t="n">
        <v>1059.52967</v>
      </c>
      <c r="H83" s="1" t="n">
        <v>874.2</v>
      </c>
      <c r="I83" s="3" t="n">
        <f aca="false">G83-H83</f>
        <v>185.32967</v>
      </c>
      <c r="J83" s="1" t="n">
        <v>70.93181818182</v>
      </c>
      <c r="K83" s="1" t="n">
        <v>60.8217232602309</v>
      </c>
      <c r="L83" s="3" t="n">
        <f aca="false">B83*54.2221/B$137</f>
        <v>44.1629222675718</v>
      </c>
      <c r="M83" s="3" t="n">
        <f aca="false">C83*100/C$137</f>
        <v>92.5727373516623</v>
      </c>
      <c r="N83" s="3" t="n">
        <f aca="false">L83/M83</f>
        <v>0.477061860014003</v>
      </c>
      <c r="O83" s="1" t="n">
        <v>867.047250893909</v>
      </c>
      <c r="P83" s="1" t="n">
        <v>239.01207324</v>
      </c>
      <c r="Q83" s="1" t="n">
        <v>680.002309545062</v>
      </c>
      <c r="R83" s="1" t="n">
        <v>358.801794857129</v>
      </c>
      <c r="S83" s="3" t="n">
        <f aca="false">SUM(O159:O161)</f>
        <v>0</v>
      </c>
      <c r="T83" s="3" t="n">
        <f aca="false">SUM(P159:P161)</f>
        <v>0</v>
      </c>
      <c r="U83" s="3" t="n">
        <f aca="false">SUM(Q159:Q161)</f>
        <v>0</v>
      </c>
      <c r="V83" s="3" t="n">
        <f aca="false">SUM(R159:R161)</f>
        <v>0</v>
      </c>
    </row>
    <row r="84" customFormat="false" ht="15" hidden="false" customHeight="false" outlineLevel="0" collapsed="false">
      <c r="A84" s="5" t="n">
        <v>38899</v>
      </c>
      <c r="B84" s="6" t="n">
        <v>70.1435464027759</v>
      </c>
      <c r="C84" s="8" t="n">
        <v>203.5</v>
      </c>
      <c r="D84" s="1" t="n">
        <v>723.49</v>
      </c>
      <c r="E84" s="1" t="n">
        <v>902.16</v>
      </c>
      <c r="F84" s="1" t="n">
        <v>178.67</v>
      </c>
      <c r="G84" s="1" t="n">
        <v>1041.9202</v>
      </c>
      <c r="H84" s="1" t="n">
        <v>971</v>
      </c>
      <c r="I84" s="3" t="n">
        <f aca="false">G84-H84</f>
        <v>70.9202</v>
      </c>
      <c r="J84" s="1" t="n">
        <v>74.40421052632</v>
      </c>
      <c r="K84" s="1" t="n">
        <v>60.8398112429605</v>
      </c>
      <c r="L84" s="3" t="n">
        <f aca="false">B84*54.2221/B$137</f>
        <v>44.1760560318331</v>
      </c>
      <c r="M84" s="3" t="n">
        <f aca="false">C84*100/C$137</f>
        <v>92.846486205339</v>
      </c>
      <c r="N84" s="3" t="n">
        <f aca="false">L84/M84</f>
        <v>0.475796746191703</v>
      </c>
      <c r="O84" s="1" t="n">
        <v>902.156895532674</v>
      </c>
      <c r="P84" s="1" t="n">
        <v>277.40278299</v>
      </c>
      <c r="Q84" s="1" t="n">
        <v>655.7092821686</v>
      </c>
      <c r="R84" s="1" t="n">
        <v>448.187651015775</v>
      </c>
    </row>
    <row r="85" customFormat="false" ht="15" hidden="false" customHeight="false" outlineLevel="0" collapsed="false">
      <c r="A85" s="5" t="n">
        <v>38930</v>
      </c>
      <c r="B85" s="6" t="n">
        <v>70.2940986792306</v>
      </c>
      <c r="C85" s="8" t="n">
        <v>203.9</v>
      </c>
      <c r="D85" s="1" t="n">
        <v>873.06</v>
      </c>
      <c r="E85" s="1" t="n">
        <v>758.16</v>
      </c>
      <c r="F85" s="1" t="n">
        <v>-114.9</v>
      </c>
      <c r="G85" s="1" t="n">
        <v>1127.67152</v>
      </c>
      <c r="H85" s="1" t="n">
        <v>998.2</v>
      </c>
      <c r="I85" s="3" t="n">
        <f aca="false">G85-H85</f>
        <v>129.47152</v>
      </c>
      <c r="J85" s="1" t="n">
        <v>73.04173913043</v>
      </c>
      <c r="K85" s="1" t="n">
        <v>60.9703944904784</v>
      </c>
      <c r="L85" s="3" t="n">
        <f aca="false">B85*54.2221/B$137</f>
        <v>44.2708731054123</v>
      </c>
      <c r="M85" s="3" t="n">
        <f aca="false">C85*100/C$137</f>
        <v>93.0289854411235</v>
      </c>
      <c r="N85" s="3" t="n">
        <f aca="false">L85/M85</f>
        <v>0.475882574613593</v>
      </c>
      <c r="O85" s="1" t="n">
        <v>758.166613382109</v>
      </c>
      <c r="P85" s="1" t="n">
        <v>197.2642327575</v>
      </c>
      <c r="Q85" s="1" t="n">
        <v>594.327386385295</v>
      </c>
      <c r="R85" s="1" t="n">
        <v>374.308208103436</v>
      </c>
    </row>
    <row r="86" customFormat="false" ht="15" hidden="false" customHeight="false" outlineLevel="0" collapsed="false">
      <c r="A86" s="5" t="n">
        <v>38961</v>
      </c>
      <c r="B86" s="6" t="n">
        <v>70.696812923342</v>
      </c>
      <c r="C86" s="8" t="n">
        <v>202.9</v>
      </c>
      <c r="D86" s="1" t="n">
        <v>796.16</v>
      </c>
      <c r="E86" s="1" t="n">
        <v>794.35</v>
      </c>
      <c r="F86" s="1" t="n">
        <v>-1.81</v>
      </c>
      <c r="G86" s="1" t="n">
        <v>1096.91086</v>
      </c>
      <c r="H86" s="1" t="n">
        <v>1048</v>
      </c>
      <c r="I86" s="3" t="n">
        <f aca="false">G86-H86</f>
        <v>48.91086</v>
      </c>
      <c r="J86" s="1" t="n">
        <v>63.819</v>
      </c>
      <c r="K86" s="1" t="n">
        <v>61.3196933191391</v>
      </c>
      <c r="L86" s="3" t="n">
        <f aca="false">B86*54.2221/B$137</f>
        <v>44.5245005298161</v>
      </c>
      <c r="M86" s="3" t="n">
        <f aca="false">C86*100/C$137</f>
        <v>92.5727373516623</v>
      </c>
      <c r="N86" s="3" t="n">
        <f aca="false">L86/M86</f>
        <v>0.480967742810477</v>
      </c>
      <c r="O86" s="1" t="n">
        <v>794.350460364424</v>
      </c>
      <c r="P86" s="1" t="n">
        <v>72.34206514</v>
      </c>
      <c r="Q86" s="1" t="n">
        <v>764.037959799426</v>
      </c>
      <c r="R86" s="1" t="n">
        <v>446.20028607063</v>
      </c>
      <c r="S86" s="3" t="n">
        <f aca="false">SUM(O162:O164)</f>
        <v>0</v>
      </c>
      <c r="T86" s="3" t="n">
        <f aca="false">SUM(P162:P164)</f>
        <v>0</v>
      </c>
      <c r="U86" s="3" t="n">
        <f aca="false">SUM(Q162:Q164)</f>
        <v>0</v>
      </c>
      <c r="V86" s="3" t="n">
        <f aca="false">SUM(R162:R164)</f>
        <v>0</v>
      </c>
    </row>
    <row r="87" customFormat="false" ht="15" hidden="false" customHeight="false" outlineLevel="0" collapsed="false">
      <c r="A87" s="5" t="n">
        <v>38991</v>
      </c>
      <c r="B87" s="6" t="n">
        <v>70.943381885484</v>
      </c>
      <c r="C87" s="8" t="n">
        <v>201.8</v>
      </c>
      <c r="D87" s="1" t="n">
        <v>811.2</v>
      </c>
      <c r="E87" s="1" t="n">
        <v>1318.26</v>
      </c>
      <c r="F87" s="1" t="n">
        <v>507.06</v>
      </c>
      <c r="G87" s="1" t="n">
        <v>1051.89948</v>
      </c>
      <c r="H87" s="1" t="n">
        <v>1084.1</v>
      </c>
      <c r="I87" s="3" t="n">
        <f aca="false">G87-H87</f>
        <v>-32.2005199999999</v>
      </c>
      <c r="J87" s="1" t="n">
        <v>58.85045454545</v>
      </c>
      <c r="K87" s="1" t="n">
        <v>61.5335577426592</v>
      </c>
      <c r="L87" s="3" t="n">
        <f aca="false">B87*54.2221/B$137</f>
        <v>44.6797884336348</v>
      </c>
      <c r="M87" s="3" t="n">
        <f aca="false">C87*100/C$137</f>
        <v>92.0708644532551</v>
      </c>
      <c r="N87" s="3" t="n">
        <f aca="false">L87/M87</f>
        <v>0.485276082710389</v>
      </c>
      <c r="O87" s="1" t="n">
        <v>1318.26413654051</v>
      </c>
      <c r="P87" s="1" t="n">
        <v>638.04295269</v>
      </c>
      <c r="Q87" s="1" t="n">
        <v>681.334597537254</v>
      </c>
      <c r="R87" s="1" t="n">
        <v>358.811123743471</v>
      </c>
    </row>
    <row r="88" customFormat="false" ht="15" hidden="false" customHeight="false" outlineLevel="0" collapsed="false">
      <c r="A88" s="5" t="n">
        <v>39022</v>
      </c>
      <c r="B88" s="6" t="n">
        <v>71.0607820253481</v>
      </c>
      <c r="C88" s="8" t="n">
        <v>201.5</v>
      </c>
      <c r="D88" s="1" t="n">
        <v>897.86</v>
      </c>
      <c r="E88" s="1" t="n">
        <v>993.08</v>
      </c>
      <c r="F88" s="1" t="n">
        <v>95.22</v>
      </c>
      <c r="G88" s="1" t="n">
        <v>1044.30567</v>
      </c>
      <c r="H88" s="1" t="n">
        <v>988.1</v>
      </c>
      <c r="I88" s="3" t="n">
        <f aca="false">G88-H88</f>
        <v>56.2056699999999</v>
      </c>
      <c r="J88" s="1" t="n">
        <v>59.1305</v>
      </c>
      <c r="K88" s="1" t="n">
        <v>61.6353861034355</v>
      </c>
      <c r="L88" s="3" t="n">
        <f aca="false">B88*54.2221/B$137</f>
        <v>44.753726456771</v>
      </c>
      <c r="M88" s="3" t="n">
        <f aca="false">C88*100/C$137</f>
        <v>91.9339900264168</v>
      </c>
      <c r="N88" s="3" t="n">
        <f aca="false">L88/M88</f>
        <v>0.48680282933343</v>
      </c>
      <c r="O88" s="1" t="n">
        <v>993.080670748862</v>
      </c>
      <c r="P88" s="1" t="n">
        <v>332.80701583</v>
      </c>
      <c r="Q88" s="1" t="n">
        <v>672.043215958928</v>
      </c>
      <c r="R88" s="1" t="n">
        <v>384.608761976094</v>
      </c>
    </row>
    <row r="89" customFormat="false" ht="15" hidden="false" customHeight="false" outlineLevel="0" collapsed="false">
      <c r="A89" s="5" t="n">
        <v>39052</v>
      </c>
      <c r="B89" s="6" t="n">
        <v>71.0381731516453</v>
      </c>
      <c r="C89" s="8" t="n">
        <v>201.8</v>
      </c>
      <c r="D89" s="1" t="n">
        <v>1266.83</v>
      </c>
      <c r="E89" s="1" t="n">
        <v>856.12</v>
      </c>
      <c r="F89" s="1" t="n">
        <v>-410.71</v>
      </c>
      <c r="G89" s="1" t="n">
        <v>1012.73753</v>
      </c>
      <c r="H89" s="1" t="n">
        <v>919.8</v>
      </c>
      <c r="I89" s="3" t="n">
        <f aca="false">G89-H89</f>
        <v>92.93753</v>
      </c>
      <c r="J89" s="1" t="n">
        <v>61.999</v>
      </c>
      <c r="K89" s="1" t="n">
        <v>61.6157760369499</v>
      </c>
      <c r="L89" s="3" t="n">
        <f aca="false">B89*54.2221/B$137</f>
        <v>44.7394875007624</v>
      </c>
      <c r="M89" s="3" t="n">
        <f aca="false">C89*100/C$137</f>
        <v>92.0708644532551</v>
      </c>
      <c r="N89" s="3" t="n">
        <f aca="false">L89/M89</f>
        <v>0.485924486170942</v>
      </c>
      <c r="O89" s="1" t="n">
        <v>856.11425929716</v>
      </c>
      <c r="P89" s="1" t="n">
        <v>158.27673856</v>
      </c>
      <c r="Q89" s="1" t="n">
        <v>814.160172995304</v>
      </c>
      <c r="R89" s="1" t="n">
        <v>375.753884220608</v>
      </c>
      <c r="S89" s="3" t="n">
        <f aca="false">SUM(O165:O167)</f>
        <v>0</v>
      </c>
      <c r="T89" s="3" t="n">
        <f aca="false">SUM(P165:P167)</f>
        <v>0</v>
      </c>
      <c r="U89" s="3" t="n">
        <f aca="false">SUM(Q165:Q167)</f>
        <v>0</v>
      </c>
      <c r="V89" s="3" t="n">
        <f aca="false">SUM(R165:R167)</f>
        <v>0</v>
      </c>
    </row>
    <row r="90" customFormat="false" ht="15" hidden="false" customHeight="false" outlineLevel="0" collapsed="false">
      <c r="A90" s="5" t="n">
        <v>39083</v>
      </c>
      <c r="B90" s="6" t="n">
        <v>71.2490749480785</v>
      </c>
      <c r="C90" s="9" t="n">
        <v>202.416</v>
      </c>
      <c r="D90" s="1" t="n">
        <v>611.04</v>
      </c>
      <c r="E90" s="1" t="n">
        <v>1019.24</v>
      </c>
      <c r="F90" s="1" t="n">
        <v>408.2</v>
      </c>
      <c r="G90" s="1" t="n">
        <v>904.45829</v>
      </c>
      <c r="H90" s="1" t="n">
        <v>1002</v>
      </c>
      <c r="I90" s="3" t="n">
        <f aca="false">G90-H90</f>
        <v>-97.54171</v>
      </c>
      <c r="J90" s="1" t="n">
        <v>54.24</v>
      </c>
      <c r="K90" s="1" t="n">
        <v>61.7987041343135</v>
      </c>
      <c r="L90" s="3" t="n">
        <f aca="false">B90*54.2221/B$137</f>
        <v>44.8723124013306</v>
      </c>
      <c r="M90" s="3" t="n">
        <f aca="false">C90*100/C$137</f>
        <v>92.3519132763632</v>
      </c>
      <c r="N90" s="3" t="n">
        <f aca="false">L90/M90</f>
        <v>0.485883949876059</v>
      </c>
      <c r="O90" s="1" t="n">
        <v>1019.23282916112</v>
      </c>
      <c r="P90" s="1" t="n">
        <v>226.58420078</v>
      </c>
      <c r="Q90" s="1" t="n">
        <v>710.148743258917</v>
      </c>
      <c r="R90" s="1" t="n">
        <v>465.837112388564</v>
      </c>
    </row>
    <row r="91" customFormat="false" ht="15" hidden="false" customHeight="false" outlineLevel="0" collapsed="false">
      <c r="A91" s="5" t="n">
        <v>39114</v>
      </c>
      <c r="B91" s="6" t="n">
        <v>71.2972162241018</v>
      </c>
      <c r="C91" s="9" t="n">
        <v>203.499</v>
      </c>
      <c r="D91" s="1" t="n">
        <v>813.76</v>
      </c>
      <c r="E91" s="1" t="n">
        <v>831.52</v>
      </c>
      <c r="F91" s="1" t="n">
        <v>17.76</v>
      </c>
      <c r="G91" s="1" t="n">
        <v>927.57138</v>
      </c>
      <c r="H91" s="1" t="n">
        <v>795.9</v>
      </c>
      <c r="I91" s="3" t="n">
        <f aca="false">G91-H91</f>
        <v>131.67138</v>
      </c>
      <c r="J91" s="1" t="n">
        <v>59.25</v>
      </c>
      <c r="K91" s="1" t="n">
        <v>61.840460023436</v>
      </c>
      <c r="L91" s="3" t="n">
        <f aca="false">B91*54.2221/B$137</f>
        <v>44.9026315371045</v>
      </c>
      <c r="M91" s="3" t="n">
        <f aca="false">C91*100/C$137</f>
        <v>92.8460299572495</v>
      </c>
      <c r="N91" s="3" t="n">
        <f aca="false">L91/M91</f>
        <v>0.483624680105113</v>
      </c>
      <c r="O91" s="1" t="n">
        <v>831.524080402193</v>
      </c>
      <c r="P91" s="1" t="n">
        <v>175.22393001</v>
      </c>
      <c r="Q91" s="1" t="n">
        <v>552.677784135393</v>
      </c>
      <c r="R91" s="1" t="n">
        <v>323.487421114893</v>
      </c>
    </row>
    <row r="92" customFormat="false" ht="15" hidden="false" customHeight="false" outlineLevel="0" collapsed="false">
      <c r="A92" s="5" t="n">
        <v>39142</v>
      </c>
      <c r="B92" s="6" t="n">
        <v>71.3655511584021</v>
      </c>
      <c r="C92" s="9" t="n">
        <v>205.352</v>
      </c>
      <c r="D92" s="1" t="n">
        <v>847.58</v>
      </c>
      <c r="E92" s="1" t="n">
        <v>878</v>
      </c>
      <c r="F92" s="1" t="n">
        <v>30.42</v>
      </c>
      <c r="G92" s="1" t="n">
        <v>1046.35805</v>
      </c>
      <c r="H92" s="1" t="n">
        <v>1068.8</v>
      </c>
      <c r="I92" s="3" t="n">
        <f aca="false">G92-H92</f>
        <v>-22.4419499999999</v>
      </c>
      <c r="J92" s="1" t="n">
        <v>60.60181818182</v>
      </c>
      <c r="K92" s="1" t="n">
        <v>61.8997311141827</v>
      </c>
      <c r="L92" s="3" t="n">
        <f aca="false">B92*54.2221/B$137</f>
        <v>44.9456685382457</v>
      </c>
      <c r="M92" s="3" t="n">
        <f aca="false">C92*100/C$137</f>
        <v>93.691457667021</v>
      </c>
      <c r="N92" s="3" t="n">
        <f aca="false">L92/M92</f>
        <v>0.479720026322809</v>
      </c>
      <c r="O92" s="1" t="n">
        <v>877.997648938519</v>
      </c>
      <c r="P92" s="1" t="n">
        <v>171.15801535</v>
      </c>
      <c r="Q92" s="1" t="n">
        <v>656.963905093419</v>
      </c>
      <c r="R92" s="1" t="n">
        <v>367.417698369639</v>
      </c>
      <c r="S92" s="3" t="n">
        <f aca="false">SUM(O168:O170)</f>
        <v>0</v>
      </c>
      <c r="T92" s="3" t="n">
        <f aca="false">SUM(P168:P170)</f>
        <v>0</v>
      </c>
      <c r="U92" s="3" t="n">
        <f aca="false">SUM(Q168:Q170)</f>
        <v>0</v>
      </c>
      <c r="V92" s="3" t="n">
        <f aca="false">SUM(R168:R170)</f>
        <v>0</v>
      </c>
    </row>
    <row r="93" customFormat="false" ht="15" hidden="false" customHeight="false" outlineLevel="0" collapsed="false">
      <c r="A93" s="5" t="n">
        <v>39173</v>
      </c>
      <c r="B93" s="6" t="n">
        <v>71.3587840774461</v>
      </c>
      <c r="C93" s="9" t="n">
        <v>206.686</v>
      </c>
      <c r="D93" s="1" t="n">
        <v>856.49</v>
      </c>
      <c r="E93" s="1" t="n">
        <v>1375.99</v>
      </c>
      <c r="F93" s="1" t="n">
        <v>519.5</v>
      </c>
      <c r="G93" s="1" t="n">
        <v>1100.61652</v>
      </c>
      <c r="H93" s="1" t="n">
        <v>898.1</v>
      </c>
      <c r="I93" s="3" t="n">
        <f aca="false">G93-H93</f>
        <v>202.51652</v>
      </c>
      <c r="J93" s="1" t="n">
        <v>63.9365</v>
      </c>
      <c r="K93" s="1" t="n">
        <v>61.8938616087308</v>
      </c>
      <c r="L93" s="3" t="n">
        <f aca="false">B93*54.2221/B$137</f>
        <v>44.9414066643768</v>
      </c>
      <c r="M93" s="3" t="n">
        <f aca="false">C93*100/C$137</f>
        <v>94.3000926183622</v>
      </c>
      <c r="N93" s="3" t="n">
        <f aca="false">L93/M93</f>
        <v>0.476578605773562</v>
      </c>
      <c r="O93" s="1" t="n">
        <v>1375.99557910501</v>
      </c>
      <c r="P93" s="1" t="n">
        <v>255.56314821</v>
      </c>
      <c r="Q93" s="1" t="n">
        <v>1107.71113183418</v>
      </c>
      <c r="R93" s="1" t="n">
        <v>751.203429812568</v>
      </c>
    </row>
    <row r="94" customFormat="false" ht="15" hidden="false" customHeight="false" outlineLevel="0" collapsed="false">
      <c r="A94" s="5" t="n">
        <v>39203</v>
      </c>
      <c r="B94" s="6" t="n">
        <v>71.3802843050852</v>
      </c>
      <c r="C94" s="9" t="n">
        <v>207.949</v>
      </c>
      <c r="D94" s="1" t="n">
        <v>869.64</v>
      </c>
      <c r="E94" s="1" t="n">
        <v>986.98</v>
      </c>
      <c r="F94" s="1" t="n">
        <v>117.34</v>
      </c>
      <c r="G94" s="1" t="n">
        <v>1066.33443</v>
      </c>
      <c r="H94" s="1" t="n">
        <v>1091.6</v>
      </c>
      <c r="I94" s="3" t="n">
        <f aca="false">G94-H94</f>
        <v>-25.26557</v>
      </c>
      <c r="J94" s="1" t="n">
        <v>63.45090909091</v>
      </c>
      <c r="K94" s="1" t="n">
        <v>61.9125100783096</v>
      </c>
      <c r="L94" s="3" t="n">
        <f aca="false">B94*54.2221/B$137</f>
        <v>44.9549474006183</v>
      </c>
      <c r="M94" s="3" t="n">
        <f aca="false">C94*100/C$137</f>
        <v>94.8763339553516</v>
      </c>
      <c r="N94" s="3" t="n">
        <f aca="false">L94/M94</f>
        <v>0.473826775619028</v>
      </c>
      <c r="O94" s="1" t="n">
        <v>986.974196932833</v>
      </c>
      <c r="P94" s="1" t="n">
        <v>197.24108254</v>
      </c>
      <c r="Q94" s="1" t="n">
        <v>674.241188410333</v>
      </c>
      <c r="R94" s="1" t="n">
        <v>410.899062444286</v>
      </c>
    </row>
    <row r="95" customFormat="false" ht="15" hidden="false" customHeight="false" outlineLevel="0" collapsed="false">
      <c r="A95" s="5" t="n">
        <v>39234</v>
      </c>
      <c r="B95" s="6" t="n">
        <v>71.6568879718613</v>
      </c>
      <c r="C95" s="9" t="n">
        <v>208.352</v>
      </c>
      <c r="D95" s="1" t="n">
        <v>889.37</v>
      </c>
      <c r="E95" s="1" t="n">
        <v>937.98</v>
      </c>
      <c r="F95" s="1" t="n">
        <v>48.61</v>
      </c>
      <c r="G95" s="1" t="n">
        <v>1185.93944</v>
      </c>
      <c r="H95" s="1" t="n">
        <v>957.2</v>
      </c>
      <c r="I95" s="3" t="n">
        <f aca="false">G95-H95</f>
        <v>228.73944</v>
      </c>
      <c r="J95" s="1" t="n">
        <v>67.4919047619</v>
      </c>
      <c r="K95" s="1" t="n">
        <v>62.1524254481304</v>
      </c>
      <c r="L95" s="3" t="n">
        <f aca="false">B95*54.2221/B$137</f>
        <v>45.1291510117666</v>
      </c>
      <c r="M95" s="3" t="n">
        <f aca="false">C95*100/C$137</f>
        <v>95.0602019354044</v>
      </c>
      <c r="N95" s="3" t="n">
        <f aca="false">L95/M95</f>
        <v>0.47474284814199</v>
      </c>
      <c r="O95" s="1" t="n">
        <v>937.975862093042</v>
      </c>
      <c r="P95" s="1" t="n">
        <v>238.83587455</v>
      </c>
      <c r="Q95" s="1" t="n">
        <v>698.849775644196</v>
      </c>
      <c r="R95" s="1" t="n">
        <v>364.032470631029</v>
      </c>
      <c r="S95" s="3" t="n">
        <f aca="false">SUM(O171:O173)</f>
        <v>0</v>
      </c>
      <c r="T95" s="3" t="n">
        <f aca="false">SUM(P171:P173)</f>
        <v>0</v>
      </c>
      <c r="U95" s="3" t="n">
        <f aca="false">SUM(Q171:Q173)</f>
        <v>0</v>
      </c>
      <c r="V95" s="3" t="n">
        <f aca="false">SUM(R171:R173)</f>
        <v>0</v>
      </c>
    </row>
    <row r="96" customFormat="false" ht="15" hidden="false" customHeight="false" outlineLevel="0" collapsed="false">
      <c r="A96" s="5" t="n">
        <v>39264</v>
      </c>
      <c r="B96" s="6" t="n">
        <v>71.9564407281749</v>
      </c>
      <c r="C96" s="9" t="n">
        <v>208.299</v>
      </c>
      <c r="D96" s="1" t="n">
        <v>954.92</v>
      </c>
      <c r="E96" s="1" t="n">
        <v>1238.14</v>
      </c>
      <c r="F96" s="1" t="n">
        <v>283.22</v>
      </c>
      <c r="G96" s="1" t="n">
        <v>1362.3092</v>
      </c>
      <c r="H96" s="1" t="n">
        <v>1102.9</v>
      </c>
      <c r="I96" s="3" t="n">
        <f aca="false">G96-H96</f>
        <v>259.4092</v>
      </c>
      <c r="J96" s="1" t="n">
        <v>74.1419047619</v>
      </c>
      <c r="K96" s="1" t="n">
        <v>62.4122459745518</v>
      </c>
      <c r="L96" s="3" t="n">
        <f aca="false">B96*54.2221/B$137</f>
        <v>45.317807845161</v>
      </c>
      <c r="M96" s="3" t="n">
        <f aca="false">C96*100/C$137</f>
        <v>95.036020786663</v>
      </c>
      <c r="N96" s="3" t="n">
        <f aca="false">L96/M96</f>
        <v>0.47684875134756</v>
      </c>
      <c r="O96" s="1" t="n">
        <v>1238.1443395437</v>
      </c>
      <c r="P96" s="1" t="n">
        <v>392.98831932</v>
      </c>
      <c r="Q96" s="1" t="n">
        <v>760.242199457622</v>
      </c>
      <c r="R96" s="1" t="n">
        <v>499.953954204135</v>
      </c>
    </row>
    <row r="97" customFormat="false" ht="15" hidden="false" customHeight="false" outlineLevel="0" collapsed="false">
      <c r="A97" s="5" t="n">
        <v>39295</v>
      </c>
      <c r="B97" s="6" t="n">
        <v>72.0089315767888</v>
      </c>
      <c r="C97" s="9" t="n">
        <v>207.917</v>
      </c>
      <c r="D97" s="1" t="n">
        <v>1355.09</v>
      </c>
      <c r="E97" s="1" t="n">
        <v>1317.8</v>
      </c>
      <c r="F97" s="1" t="n">
        <v>-37.29</v>
      </c>
      <c r="G97" s="1" t="n">
        <v>1184.01492</v>
      </c>
      <c r="H97" s="1" t="n">
        <v>1067.7</v>
      </c>
      <c r="I97" s="3" t="n">
        <f aca="false">G97-H97</f>
        <v>116.31492</v>
      </c>
      <c r="J97" s="1" t="n">
        <v>72.37826086957</v>
      </c>
      <c r="K97" s="1" t="n">
        <v>62.4577745154572</v>
      </c>
      <c r="L97" s="3" t="n">
        <f aca="false">B97*54.2221/B$137</f>
        <v>45.3508663200805</v>
      </c>
      <c r="M97" s="3" t="n">
        <f aca="false">C97*100/C$137</f>
        <v>94.8617340164888</v>
      </c>
      <c r="N97" s="3" t="n">
        <f aca="false">L97/M97</f>
        <v>0.478073343169098</v>
      </c>
      <c r="O97" s="1" t="n">
        <v>1317.7952725958</v>
      </c>
      <c r="P97" s="1" t="n">
        <v>225.66620293</v>
      </c>
      <c r="Q97" s="1" t="n">
        <v>791.911682764486</v>
      </c>
      <c r="R97" s="1" t="n">
        <v>440.437832122958</v>
      </c>
    </row>
    <row r="98" customFormat="false" ht="15" hidden="false" customHeight="false" outlineLevel="0" collapsed="false">
      <c r="A98" s="5" t="n">
        <v>39326</v>
      </c>
      <c r="B98" s="6" t="n">
        <v>72.5203019610163</v>
      </c>
      <c r="C98" s="9" t="n">
        <v>208.49</v>
      </c>
      <c r="D98" s="1" t="n">
        <v>1050.94</v>
      </c>
      <c r="E98" s="1" t="n">
        <v>1258.88</v>
      </c>
      <c r="F98" s="1" t="n">
        <v>207.94</v>
      </c>
      <c r="G98" s="1" t="n">
        <v>1279.95741</v>
      </c>
      <c r="H98" s="1" t="n">
        <v>1125.9</v>
      </c>
      <c r="I98" s="3" t="n">
        <f aca="false">G98-H98</f>
        <v>154.05741</v>
      </c>
      <c r="J98" s="1" t="n">
        <v>79.90631578947</v>
      </c>
      <c r="K98" s="1" t="n">
        <v>62.9013174962041</v>
      </c>
      <c r="L98" s="3" t="n">
        <f aca="false">B98*54.2221/B$137</f>
        <v>45.6729248401465</v>
      </c>
      <c r="M98" s="3" t="n">
        <f aca="false">C98*100/C$137</f>
        <v>95.12316417175</v>
      </c>
      <c r="N98" s="3" t="n">
        <f aca="false">L98/M98</f>
        <v>0.48014513854566</v>
      </c>
      <c r="O98" s="1" t="n">
        <v>1258.87377663425</v>
      </c>
      <c r="P98" s="1" t="n">
        <v>350.05521084</v>
      </c>
      <c r="Q98" s="1" t="n">
        <v>927.118985197252</v>
      </c>
      <c r="R98" s="1" t="n">
        <v>541.136168732932</v>
      </c>
      <c r="S98" s="3" t="n">
        <f aca="false">SUM(O174:O176)</f>
        <v>0</v>
      </c>
      <c r="T98" s="3" t="n">
        <f aca="false">SUM(P174:P176)</f>
        <v>0</v>
      </c>
      <c r="U98" s="3" t="n">
        <f aca="false">SUM(Q174:Q176)</f>
        <v>0</v>
      </c>
      <c r="V98" s="3" t="n">
        <f aca="false">SUM(R174:R176)</f>
        <v>0</v>
      </c>
    </row>
    <row r="99" customFormat="false" ht="15" hidden="false" customHeight="false" outlineLevel="0" collapsed="false">
      <c r="A99" s="5" t="n">
        <v>39356</v>
      </c>
      <c r="B99" s="6" t="n">
        <v>72.6179985674464</v>
      </c>
      <c r="C99" s="9" t="n">
        <v>208.936</v>
      </c>
      <c r="D99" s="1" t="n">
        <v>1210.48</v>
      </c>
      <c r="E99" s="1" t="n">
        <v>1233.69</v>
      </c>
      <c r="F99" s="1" t="n">
        <v>23.21</v>
      </c>
      <c r="G99" s="1" t="n">
        <v>1426.44416</v>
      </c>
      <c r="H99" s="1" t="n">
        <v>1304</v>
      </c>
      <c r="I99" s="3" t="n">
        <f aca="false">G99-H99</f>
        <v>122.44416</v>
      </c>
      <c r="J99" s="1" t="n">
        <v>85.90391304348</v>
      </c>
      <c r="K99" s="1" t="n">
        <v>62.9860557707725</v>
      </c>
      <c r="L99" s="3" t="n">
        <f aca="false">B99*54.2221/B$137</f>
        <v>45.7344536760995</v>
      </c>
      <c r="M99" s="3" t="n">
        <f aca="false">C99*100/C$137</f>
        <v>95.3266508196497</v>
      </c>
      <c r="N99" s="3" t="n">
        <f aca="false">L99/M99</f>
        <v>0.479765661363949</v>
      </c>
      <c r="O99" s="1" t="n">
        <v>1233.69121337493</v>
      </c>
      <c r="P99" s="1" t="n">
        <v>320.0327241</v>
      </c>
      <c r="Q99" s="1" t="n">
        <v>829.558703239669</v>
      </c>
      <c r="R99" s="1" t="n">
        <v>434.617614833422</v>
      </c>
    </row>
    <row r="100" customFormat="false" ht="15" hidden="false" customHeight="false" outlineLevel="0" collapsed="false">
      <c r="A100" s="5" t="n">
        <v>39387</v>
      </c>
      <c r="B100" s="6" t="n">
        <v>72.9792559286484</v>
      </c>
      <c r="C100" s="9" t="n">
        <v>210.177</v>
      </c>
      <c r="D100" s="1" t="n">
        <v>1172.19</v>
      </c>
      <c r="E100" s="1" t="n">
        <v>1268.59</v>
      </c>
      <c r="F100" s="1" t="n">
        <v>96.4</v>
      </c>
      <c r="G100" s="1" t="n">
        <v>1372.57568</v>
      </c>
      <c r="H100" s="1" t="n">
        <v>1303.8</v>
      </c>
      <c r="I100" s="3" t="n">
        <f aca="false">G100-H100</f>
        <v>68.77568</v>
      </c>
      <c r="J100" s="1" t="n">
        <v>94.75523809524</v>
      </c>
      <c r="K100" s="1" t="n">
        <v>63.2993964955122</v>
      </c>
      <c r="L100" s="3" t="n">
        <f aca="false">B100*54.2221/B$137</f>
        <v>45.9619717622072</v>
      </c>
      <c r="M100" s="3" t="n">
        <f aca="false">C100*100/C$137</f>
        <v>95.8928546986709</v>
      </c>
      <c r="N100" s="3" t="n">
        <f aca="false">L100/M100</f>
        <v>0.479305490556475</v>
      </c>
      <c r="O100" s="1" t="n">
        <v>1268.59120865641</v>
      </c>
      <c r="P100" s="1" t="n">
        <v>352.47204343</v>
      </c>
      <c r="Q100" s="1" t="n">
        <v>850.953891894472</v>
      </c>
      <c r="R100" s="1" t="n">
        <v>468.60104207537</v>
      </c>
    </row>
    <row r="101" customFormat="false" ht="15" hidden="false" customHeight="false" outlineLevel="0" collapsed="false">
      <c r="A101" s="5" t="n">
        <v>39417</v>
      </c>
      <c r="B101" s="6" t="n">
        <v>73.3964319506629</v>
      </c>
      <c r="C101" s="9" t="n">
        <v>210.036</v>
      </c>
      <c r="D101" s="1" t="n">
        <v>1673.96</v>
      </c>
      <c r="E101" s="1" t="n">
        <v>1283.8</v>
      </c>
      <c r="F101" s="1" t="n">
        <v>-390.16</v>
      </c>
      <c r="G101" s="1" t="n">
        <v>1464.73596</v>
      </c>
      <c r="H101" s="1" t="n">
        <v>1189.3</v>
      </c>
      <c r="I101" s="3" t="n">
        <f aca="false">G101-H101</f>
        <v>275.43596</v>
      </c>
      <c r="J101" s="1" t="n">
        <v>91.35666666667</v>
      </c>
      <c r="K101" s="1" t="n">
        <v>63.6612389134691</v>
      </c>
      <c r="L101" s="3" t="n">
        <f aca="false">B101*54.2221/B$137</f>
        <v>46.2247071422781</v>
      </c>
      <c r="M101" s="3" t="n">
        <f aca="false">C101*100/C$137</f>
        <v>95.8285237180569</v>
      </c>
      <c r="N101" s="3" t="n">
        <f aca="false">L101/M101</f>
        <v>0.482368978972051</v>
      </c>
      <c r="O101" s="1" t="n">
        <v>1283.79655961807</v>
      </c>
      <c r="P101" s="1" t="n">
        <v>412.23911492</v>
      </c>
      <c r="Q101" s="1" t="n">
        <v>902.442389667589</v>
      </c>
      <c r="R101" s="1" t="n">
        <v>497.65195183127</v>
      </c>
      <c r="S101" s="3" t="n">
        <f aca="false">SUM(O177:O179)</f>
        <v>0</v>
      </c>
      <c r="T101" s="3" t="n">
        <f aca="false">SUM(P177:P179)</f>
        <v>0</v>
      </c>
      <c r="U101" s="3" t="n">
        <f aca="false">SUM(Q177:Q179)</f>
        <v>0</v>
      </c>
      <c r="V101" s="3" t="n">
        <f aca="false">SUM(R177:R179)</f>
        <v>0</v>
      </c>
    </row>
    <row r="102" customFormat="false" ht="15" hidden="false" customHeight="false" outlineLevel="0" collapsed="false">
      <c r="A102" s="5" t="n">
        <v>39448</v>
      </c>
      <c r="B102" s="6" t="n">
        <v>74.234712163968</v>
      </c>
      <c r="C102" s="9" t="n">
        <v>211.08</v>
      </c>
      <c r="D102" s="1" t="n">
        <v>1016.57</v>
      </c>
      <c r="E102" s="1" t="n">
        <v>1432.38</v>
      </c>
      <c r="F102" s="1" t="n">
        <v>415.81</v>
      </c>
      <c r="G102" s="1" t="n">
        <v>1574.30958</v>
      </c>
      <c r="H102" s="1" t="n">
        <v>1318</v>
      </c>
      <c r="I102" s="3" t="n">
        <f aca="false">G102-H102</f>
        <v>256.30958</v>
      </c>
      <c r="J102" s="1" t="n">
        <v>92.97571428571</v>
      </c>
      <c r="K102" s="1" t="n">
        <v>64.3883308921572</v>
      </c>
      <c r="L102" s="3" t="n">
        <f aca="false">B102*54.2221/B$137</f>
        <v>46.7526518438576</v>
      </c>
      <c r="M102" s="3" t="n">
        <f aca="false">C102*100/C$137</f>
        <v>96.3048467234544</v>
      </c>
      <c r="N102" s="3" t="n">
        <f aca="false">L102/M102</f>
        <v>0.485465201747435</v>
      </c>
      <c r="O102" s="1" t="n">
        <v>1432.37350374104</v>
      </c>
      <c r="P102" s="1" t="n">
        <v>432.19861471</v>
      </c>
      <c r="Q102" s="1" t="n">
        <v>953.796938819367</v>
      </c>
      <c r="R102" s="1" t="n">
        <v>622.201256839995</v>
      </c>
    </row>
    <row r="103" customFormat="false" ht="15" hidden="false" customHeight="false" outlineLevel="0" collapsed="false">
      <c r="A103" s="5" t="n">
        <v>39479</v>
      </c>
      <c r="B103" s="6" t="n">
        <v>74.9351652229096</v>
      </c>
      <c r="C103" s="9" t="n">
        <v>211.693</v>
      </c>
      <c r="D103" s="1" t="n">
        <v>1204.92</v>
      </c>
      <c r="E103" s="1" t="n">
        <v>1771.47</v>
      </c>
      <c r="F103" s="1" t="n">
        <v>566.55</v>
      </c>
      <c r="G103" s="1" t="n">
        <v>1613.87489</v>
      </c>
      <c r="H103" s="1" t="n">
        <v>1055.9</v>
      </c>
      <c r="I103" s="3" t="n">
        <f aca="false">G103-H103</f>
        <v>557.97489</v>
      </c>
      <c r="J103" s="1" t="n">
        <v>95.384</v>
      </c>
      <c r="K103" s="1" t="n">
        <v>64.995876904243</v>
      </c>
      <c r="L103" s="3" t="n">
        <f aca="false">B103*54.2221/B$137</f>
        <v>47.1937936903475</v>
      </c>
      <c r="M103" s="3" t="n">
        <f aca="false">C103*100/C$137</f>
        <v>96.584526802294</v>
      </c>
      <c r="N103" s="3" t="n">
        <f aca="false">L103/M103</f>
        <v>0.488626856214267</v>
      </c>
      <c r="O103" s="1" t="n">
        <v>1771.47085678094</v>
      </c>
      <c r="P103" s="1" t="n">
        <v>964.12492658</v>
      </c>
      <c r="Q103" s="1" t="n">
        <v>737.651276336223</v>
      </c>
      <c r="R103" s="1" t="n">
        <v>381.20475231037</v>
      </c>
    </row>
    <row r="104" customFormat="false" ht="15" hidden="false" customHeight="false" outlineLevel="0" collapsed="false">
      <c r="A104" s="5" t="n">
        <v>39508</v>
      </c>
      <c r="B104" s="6" t="n">
        <v>76.0439095005904</v>
      </c>
      <c r="C104" s="9" t="n">
        <v>213.528</v>
      </c>
      <c r="D104" s="1" t="n">
        <v>1442.19</v>
      </c>
      <c r="E104" s="1" t="n">
        <v>1717.35</v>
      </c>
      <c r="F104" s="1" t="n">
        <v>275.16</v>
      </c>
      <c r="G104" s="1" t="n">
        <v>1434.48917</v>
      </c>
      <c r="H104" s="1" t="n">
        <v>1248.9</v>
      </c>
      <c r="I104" s="3" t="n">
        <f aca="false">G104-H104</f>
        <v>185.58917</v>
      </c>
      <c r="J104" s="1" t="n">
        <v>105.4725</v>
      </c>
      <c r="K104" s="1" t="n">
        <v>65.9575589980377</v>
      </c>
      <c r="L104" s="3" t="n">
        <f aca="false">B104*54.2221/B$137</f>
        <v>47.8920753120743</v>
      </c>
      <c r="M104" s="3" t="n">
        <f aca="false">C104*100/C$137</f>
        <v>97.4217420464552</v>
      </c>
      <c r="N104" s="3" t="n">
        <f aca="false">L104/M104</f>
        <v>0.49159534931368</v>
      </c>
      <c r="O104" s="1" t="n">
        <v>1717.34921006262</v>
      </c>
      <c r="P104" s="1" t="n">
        <v>676.67948166</v>
      </c>
      <c r="Q104" s="1" t="n">
        <v>954.424419738914</v>
      </c>
      <c r="R104" s="1" t="n">
        <v>488.6949125752</v>
      </c>
      <c r="S104" s="3" t="n">
        <f aca="false">SUM(O180:O182)</f>
        <v>0</v>
      </c>
      <c r="T104" s="3" t="n">
        <f aca="false">SUM(P180:P182)</f>
        <v>0</v>
      </c>
      <c r="U104" s="3" t="n">
        <f aca="false">SUM(Q180:Q182)</f>
        <v>0</v>
      </c>
      <c r="V104" s="3" t="n">
        <f aca="false">SUM(R180:R182)</f>
        <v>0</v>
      </c>
    </row>
    <row r="105" customFormat="false" ht="15" hidden="false" customHeight="false" outlineLevel="0" collapsed="false">
      <c r="A105" s="5" t="n">
        <v>39539</v>
      </c>
      <c r="B105" s="6" t="n">
        <v>77.1984966198129</v>
      </c>
      <c r="C105" s="9" t="n">
        <v>214.823</v>
      </c>
      <c r="D105" s="1" t="n">
        <v>1684.08</v>
      </c>
      <c r="E105" s="1" t="n">
        <v>2052.93</v>
      </c>
      <c r="F105" s="1" t="n">
        <v>368.85</v>
      </c>
      <c r="G105" s="1" t="n">
        <v>1631.05246</v>
      </c>
      <c r="H105" s="1" t="n">
        <v>1397.8</v>
      </c>
      <c r="I105" s="3" t="n">
        <f aca="false">G105-H105</f>
        <v>233.25246</v>
      </c>
      <c r="J105" s="1" t="n">
        <v>112.61818181818</v>
      </c>
      <c r="K105" s="1" t="n">
        <v>66.9590034073879</v>
      </c>
      <c r="L105" s="3" t="n">
        <f aca="false">B105*54.2221/B$137</f>
        <v>48.6192285269906</v>
      </c>
      <c r="M105" s="3" t="n">
        <f aca="false">C105*100/C$137</f>
        <v>98.0125833223073</v>
      </c>
      <c r="N105" s="3" t="n">
        <f aca="false">L105/M105</f>
        <v>0.496050883253529</v>
      </c>
      <c r="O105" s="1" t="n">
        <v>2052.93823631674</v>
      </c>
      <c r="P105" s="1" t="n">
        <v>732.61387988</v>
      </c>
      <c r="Q105" s="1" t="n">
        <v>1284.11844727493</v>
      </c>
      <c r="R105" s="1" t="n">
        <v>856.1706964301</v>
      </c>
    </row>
    <row r="106" customFormat="false" ht="15" hidden="false" customHeight="false" outlineLevel="0" collapsed="false">
      <c r="A106" s="5" t="n">
        <v>39569</v>
      </c>
      <c r="B106" s="6" t="n">
        <v>78.0081683348797</v>
      </c>
      <c r="C106" s="9" t="n">
        <v>216.632</v>
      </c>
      <c r="D106" s="1" t="n">
        <v>1647.44</v>
      </c>
      <c r="E106" s="1" t="n">
        <v>2049.72</v>
      </c>
      <c r="F106" s="1" t="n">
        <v>402.28</v>
      </c>
      <c r="G106" s="1" t="n">
        <v>1967.73281</v>
      </c>
      <c r="H106" s="1" t="n">
        <v>1289.8</v>
      </c>
      <c r="I106" s="3" t="n">
        <f aca="false">G106-H106</f>
        <v>677.93281</v>
      </c>
      <c r="J106" s="1" t="n">
        <v>125.013</v>
      </c>
      <c r="K106" s="1" t="n">
        <v>67.6612814762863</v>
      </c>
      <c r="L106" s="3" t="n">
        <f aca="false">B106*54.2221/B$137</f>
        <v>49.1291557389225</v>
      </c>
      <c r="M106" s="3" t="n">
        <f aca="false">C106*100/C$137</f>
        <v>98.8379361161425</v>
      </c>
      <c r="N106" s="3" t="n">
        <f aca="false">L106/M106</f>
        <v>0.497067802803893</v>
      </c>
      <c r="O106" s="1" t="n">
        <v>2049.72228706261</v>
      </c>
      <c r="P106" s="1" t="n">
        <v>1086.47208389</v>
      </c>
      <c r="Q106" s="1" t="n">
        <v>873.878041697394</v>
      </c>
      <c r="R106" s="1" t="n">
        <v>516.6909493886</v>
      </c>
    </row>
    <row r="107" customFormat="false" ht="15" hidden="false" customHeight="false" outlineLevel="0" collapsed="false">
      <c r="A107" s="5" t="n">
        <v>39600</v>
      </c>
      <c r="B107" s="6" t="n">
        <v>78.5985218245063</v>
      </c>
      <c r="C107" s="9" t="n">
        <v>218.815</v>
      </c>
      <c r="D107" s="1" t="n">
        <v>1648.56</v>
      </c>
      <c r="E107" s="1" t="n">
        <v>1781.34</v>
      </c>
      <c r="F107" s="1" t="n">
        <v>132.78</v>
      </c>
      <c r="G107" s="1" t="n">
        <v>1897.99076</v>
      </c>
      <c r="H107" s="1" t="n">
        <v>1594.2</v>
      </c>
      <c r="I107" s="3" t="n">
        <f aca="false">G107-H107</f>
        <v>303.79076</v>
      </c>
      <c r="J107" s="1" t="n">
        <v>133.92714285714</v>
      </c>
      <c r="K107" s="1" t="n">
        <v>68.1733313613785</v>
      </c>
      <c r="L107" s="3" t="n">
        <f aca="false">B107*54.2221/B$137</f>
        <v>49.5009574252327</v>
      </c>
      <c r="M107" s="3" t="n">
        <f aca="false">C107*100/C$137</f>
        <v>99.8339256954362</v>
      </c>
      <c r="N107" s="3" t="n">
        <f aca="false">L107/M107</f>
        <v>0.495833025501226</v>
      </c>
      <c r="O107" s="1" t="n">
        <v>1781.33669301285</v>
      </c>
      <c r="P107" s="1" t="n">
        <v>928.85430915</v>
      </c>
      <c r="Q107" s="1" t="n">
        <v>803.255957252625</v>
      </c>
      <c r="R107" s="1" t="n">
        <v>456.3302523971</v>
      </c>
      <c r="S107" s="3" t="n">
        <f aca="false">SUM(O183:O185)</f>
        <v>0</v>
      </c>
      <c r="T107" s="3" t="n">
        <f aca="false">SUM(P183:P185)</f>
        <v>0</v>
      </c>
      <c r="U107" s="3" t="n">
        <f aca="false">SUM(Q183:Q185)</f>
        <v>0</v>
      </c>
      <c r="V107" s="3" t="n">
        <f aca="false">SUM(R183:R185)</f>
        <v>0</v>
      </c>
    </row>
    <row r="108" customFormat="false" ht="15" hidden="false" customHeight="false" outlineLevel="0" collapsed="false">
      <c r="A108" s="5" t="n">
        <v>39630</v>
      </c>
      <c r="B108" s="6" t="n">
        <v>79.0592596252579</v>
      </c>
      <c r="C108" s="9" t="n">
        <v>219.964</v>
      </c>
      <c r="D108" s="1" t="n">
        <v>2074.53</v>
      </c>
      <c r="E108" s="1" t="n">
        <v>2146.48</v>
      </c>
      <c r="F108" s="1" t="n">
        <v>71.95</v>
      </c>
      <c r="G108" s="1" t="n">
        <v>1828.06904</v>
      </c>
      <c r="H108" s="1" t="n">
        <v>1722</v>
      </c>
      <c r="I108" s="3" t="n">
        <f aca="false">G108-H108</f>
        <v>106.06904</v>
      </c>
      <c r="J108" s="1" t="n">
        <v>133.37772727273</v>
      </c>
      <c r="K108" s="1" t="n">
        <v>68.5729575888474</v>
      </c>
      <c r="L108" s="3" t="n">
        <f aca="false">B108*54.2221/B$137</f>
        <v>49.7911277965041</v>
      </c>
      <c r="M108" s="3" t="n">
        <f aca="false">C108*100/C$137</f>
        <v>100.358154750227</v>
      </c>
      <c r="N108" s="3" t="n">
        <f aca="false">L108/M108</f>
        <v>0.496134349225782</v>
      </c>
      <c r="O108" s="1" t="n">
        <v>2146.47933681864</v>
      </c>
      <c r="P108" s="1" t="n">
        <v>910.81243233</v>
      </c>
      <c r="Q108" s="1" t="n">
        <v>1106.06071546611</v>
      </c>
      <c r="R108" s="1" t="n">
        <v>665.77180869079</v>
      </c>
    </row>
    <row r="109" customFormat="false" ht="15" hidden="false" customHeight="false" outlineLevel="0" collapsed="false">
      <c r="A109" s="5" t="n">
        <v>39661</v>
      </c>
      <c r="B109" s="6" t="n">
        <v>79.2251834145096</v>
      </c>
      <c r="C109" s="9" t="n">
        <v>219.086</v>
      </c>
      <c r="D109" s="1" t="n">
        <v>2125.98</v>
      </c>
      <c r="E109" s="1" t="n">
        <v>2319.53</v>
      </c>
      <c r="F109" s="1" t="n">
        <v>193.55</v>
      </c>
      <c r="G109" s="1" t="n">
        <v>1819.37805</v>
      </c>
      <c r="H109" s="1" t="n">
        <v>1764.4</v>
      </c>
      <c r="I109" s="3" t="n">
        <f aca="false">G109-H109</f>
        <v>54.9780499999997</v>
      </c>
      <c r="J109" s="1" t="n">
        <v>116.64047619048</v>
      </c>
      <c r="K109" s="1" t="n">
        <v>68.7168734946788</v>
      </c>
      <c r="L109" s="3" t="n">
        <f aca="false">B109*54.2221/B$137</f>
        <v>49.8956257722538</v>
      </c>
      <c r="M109" s="3" t="n">
        <f aca="false">C109*100/C$137</f>
        <v>99.9575689276801</v>
      </c>
      <c r="N109" s="3" t="n">
        <f aca="false">L109/M109</f>
        <v>0.49916806008311</v>
      </c>
      <c r="O109" s="1" t="n">
        <v>2319.52857956306</v>
      </c>
      <c r="P109" s="1" t="n">
        <v>1078.91316686</v>
      </c>
      <c r="Q109" s="1" t="n">
        <v>1202.50410782707</v>
      </c>
      <c r="R109" s="1" t="n">
        <v>528.373380198177</v>
      </c>
    </row>
    <row r="110" customFormat="false" ht="15" hidden="false" customHeight="false" outlineLevel="0" collapsed="false">
      <c r="A110" s="5" t="n">
        <v>39692</v>
      </c>
      <c r="B110" s="6" t="n">
        <v>79.7475732965297</v>
      </c>
      <c r="C110" s="9" t="n">
        <v>218.783</v>
      </c>
      <c r="D110" s="1" t="n">
        <v>1795.8</v>
      </c>
      <c r="E110" s="1" t="n">
        <v>1789.66</v>
      </c>
      <c r="F110" s="1" t="n">
        <v>-6.14</v>
      </c>
      <c r="G110" s="1" t="n">
        <v>1530.5549</v>
      </c>
      <c r="H110" s="1" t="n">
        <v>1679.6</v>
      </c>
      <c r="I110" s="3" t="n">
        <f aca="false">G110-H110</f>
        <v>-149.0451</v>
      </c>
      <c r="J110" s="1" t="n">
        <v>103.93666666667</v>
      </c>
      <c r="K110" s="1" t="n">
        <v>69.1699743635006</v>
      </c>
      <c r="L110" s="3" t="n">
        <f aca="false">B110*54.2221/B$137</f>
        <v>50.2246243171245</v>
      </c>
      <c r="M110" s="3" t="n">
        <f aca="false">C110*100/C$137</f>
        <v>99.8193257565734</v>
      </c>
      <c r="N110" s="3" t="n">
        <f aca="false">L110/M110</f>
        <v>0.503155315230298</v>
      </c>
      <c r="O110" s="1" t="n">
        <v>1789.65486014689</v>
      </c>
      <c r="P110" s="1" t="n">
        <v>535.33103676</v>
      </c>
      <c r="Q110" s="1" t="n">
        <v>1171.61168603395</v>
      </c>
      <c r="R110" s="1" t="n">
        <v>697.505408502221</v>
      </c>
      <c r="S110" s="3" t="n">
        <f aca="false">SUM(O186:O188)</f>
        <v>0</v>
      </c>
      <c r="T110" s="3" t="n">
        <f aca="false">SUM(P186:P188)</f>
        <v>0</v>
      </c>
      <c r="U110" s="3" t="n">
        <f aca="false">SUM(Q186:Q188)</f>
        <v>0</v>
      </c>
      <c r="V110" s="3" t="n">
        <f aca="false">SUM(R186:R188)</f>
        <v>0</v>
      </c>
    </row>
    <row r="111" customFormat="false" ht="15" hidden="false" customHeight="false" outlineLevel="0" collapsed="false">
      <c r="A111" s="5" t="n">
        <v>39722</v>
      </c>
      <c r="B111" s="6" t="n">
        <v>79.7727822512887</v>
      </c>
      <c r="C111" s="9" t="n">
        <v>216.573</v>
      </c>
      <c r="D111" s="1" t="n">
        <v>2136.67</v>
      </c>
      <c r="E111" s="1" t="n">
        <v>2058.71</v>
      </c>
      <c r="F111" s="1" t="n">
        <v>-77.96</v>
      </c>
      <c r="G111" s="1" t="n">
        <v>1268.4164</v>
      </c>
      <c r="H111" s="1" t="n">
        <v>1804.6</v>
      </c>
      <c r="I111" s="3" t="n">
        <f aca="false">G111-H111</f>
        <v>-536.1836</v>
      </c>
      <c r="J111" s="1" t="n">
        <v>76.6147826087</v>
      </c>
      <c r="K111" s="1" t="n">
        <v>69.1918396401771</v>
      </c>
      <c r="L111" s="3" t="n">
        <f aca="false">B111*54.2221/B$137</f>
        <v>50.2405007912273</v>
      </c>
      <c r="M111" s="3" t="n">
        <f aca="false">C111*100/C$137</f>
        <v>98.8110174788643</v>
      </c>
      <c r="N111" s="3" t="n">
        <f aca="false">L111/M111</f>
        <v>0.508450394228293</v>
      </c>
      <c r="O111" s="1" t="n">
        <v>2058.70978647427</v>
      </c>
      <c r="P111" s="1" t="n">
        <v>681.34909483</v>
      </c>
      <c r="Q111" s="1" t="n">
        <v>1233.94216737038</v>
      </c>
      <c r="R111" s="1" t="n">
        <v>604.543298935121</v>
      </c>
    </row>
    <row r="112" customFormat="false" ht="15" hidden="false" customHeight="false" outlineLevel="0" collapsed="false">
      <c r="A112" s="5" t="n">
        <v>39753</v>
      </c>
      <c r="B112" s="6" t="n">
        <v>79.6446030148867</v>
      </c>
      <c r="C112" s="9" t="n">
        <v>212.425</v>
      </c>
      <c r="D112" s="1" t="n">
        <v>1891.58</v>
      </c>
      <c r="E112" s="1" t="n">
        <v>1507.96</v>
      </c>
      <c r="F112" s="1" t="n">
        <v>-383.62</v>
      </c>
      <c r="G112" s="1" t="n">
        <v>1044.17797</v>
      </c>
      <c r="H112" s="1" t="n">
        <v>1488.8</v>
      </c>
      <c r="I112" s="3" t="n">
        <f aca="false">G112-H112</f>
        <v>-444.62203</v>
      </c>
      <c r="J112" s="1" t="n">
        <v>57.29368421053</v>
      </c>
      <c r="K112" s="1" t="n">
        <v>69.0806619061175</v>
      </c>
      <c r="L112" s="3" t="n">
        <f aca="false">B112*54.2221/B$137</f>
        <v>50.1597741467987</v>
      </c>
      <c r="M112" s="3" t="n">
        <f aca="false">C112*100/C$137</f>
        <v>96.9185004037796</v>
      </c>
      <c r="N112" s="3" t="n">
        <f aca="false">L112/M112</f>
        <v>0.517545916804576</v>
      </c>
      <c r="O112" s="1" t="n">
        <v>1507.95562330945</v>
      </c>
      <c r="P112" s="1" t="n">
        <v>363.24154221</v>
      </c>
      <c r="Q112" s="1" t="n">
        <v>1082.97144494805</v>
      </c>
      <c r="R112" s="1" t="n">
        <v>557.852549740677</v>
      </c>
    </row>
    <row r="113" customFormat="false" ht="15" hidden="false" customHeight="false" outlineLevel="0" collapsed="false">
      <c r="A113" s="5" t="n">
        <v>39783</v>
      </c>
      <c r="B113" s="6" t="n">
        <v>79.8777342342988</v>
      </c>
      <c r="C113" s="9" t="n">
        <v>210.228</v>
      </c>
      <c r="D113" s="1" t="n">
        <v>3092.75</v>
      </c>
      <c r="E113" s="1" t="n">
        <v>1480.86</v>
      </c>
      <c r="F113" s="1" t="n">
        <v>-1611.89</v>
      </c>
      <c r="G113" s="1" t="n">
        <v>900.55185</v>
      </c>
      <c r="H113" s="1" t="n">
        <v>1373.2</v>
      </c>
      <c r="I113" s="3" t="n">
        <f aca="false">G113-H113</f>
        <v>-472.64815</v>
      </c>
      <c r="J113" s="1" t="n">
        <v>41.43904761905</v>
      </c>
      <c r="K113" s="1" t="n">
        <v>69.2828709490197</v>
      </c>
      <c r="L113" s="3" t="n">
        <f aca="false">B113*54.2221/B$137</f>
        <v>50.3065990272002</v>
      </c>
      <c r="M113" s="3" t="n">
        <f aca="false">C113*100/C$137</f>
        <v>95.9161233512335</v>
      </c>
      <c r="N113" s="3" t="n">
        <f aca="false">L113/M113</f>
        <v>0.524485323942705</v>
      </c>
      <c r="O113" s="1" t="n">
        <v>1480.85608506307</v>
      </c>
      <c r="P113" s="1" t="n">
        <v>284.68126118</v>
      </c>
      <c r="Q113" s="1" t="n">
        <v>1136.23675189438</v>
      </c>
      <c r="R113" s="1" t="n">
        <v>543.870278954277</v>
      </c>
      <c r="S113" s="3" t="n">
        <f aca="false">SUM(O189:O191)</f>
        <v>0</v>
      </c>
      <c r="T113" s="3" t="n">
        <f aca="false">SUM(P189:P191)</f>
        <v>0</v>
      </c>
      <c r="U113" s="3" t="n">
        <f aca="false">SUM(Q189:Q191)</f>
        <v>0</v>
      </c>
      <c r="V113" s="3" t="n">
        <f aca="false">SUM(R189:R191)</f>
        <v>0</v>
      </c>
    </row>
    <row r="114" customFormat="false" ht="15" hidden="false" customHeight="false" outlineLevel="0" collapsed="false">
      <c r="A114" s="5" t="n">
        <v>39814</v>
      </c>
      <c r="B114" s="6" t="n">
        <v>80.4428036176893</v>
      </c>
      <c r="C114" s="9" t="n">
        <v>211.143</v>
      </c>
      <c r="D114" s="1" t="n">
        <v>1137.6</v>
      </c>
      <c r="E114" s="1" t="n">
        <v>1214.02</v>
      </c>
      <c r="F114" s="1" t="n">
        <v>76.42</v>
      </c>
      <c r="G114" s="1" t="n">
        <v>873.69332</v>
      </c>
      <c r="H114" s="1" t="n">
        <v>1224.9</v>
      </c>
      <c r="I114" s="3" t="n">
        <f aca="false">G114-H114</f>
        <v>-351.20668</v>
      </c>
      <c r="J114" s="1" t="n">
        <v>41.7385</v>
      </c>
      <c r="K114" s="1" t="n">
        <v>69.7729903739379</v>
      </c>
      <c r="L114" s="3" t="n">
        <f aca="false">B114*54.2221/B$137</f>
        <v>50.6624769093818</v>
      </c>
      <c r="M114" s="3" t="n">
        <f aca="false">C114*100/C$137</f>
        <v>96.3335903530904</v>
      </c>
      <c r="N114" s="3" t="n">
        <f aca="false">L114/M114</f>
        <v>0.525906661671066</v>
      </c>
      <c r="O114" s="1" t="n">
        <v>1214.02278555171</v>
      </c>
      <c r="P114" s="1" t="n">
        <v>203.75661939</v>
      </c>
      <c r="Q114" s="1" t="n">
        <v>953.594004997406</v>
      </c>
      <c r="R114" s="1" t="n">
        <v>631.401069506619</v>
      </c>
    </row>
    <row r="115" customFormat="false" ht="15" hidden="false" customHeight="false" outlineLevel="0" collapsed="false">
      <c r="A115" s="5" t="n">
        <v>39845</v>
      </c>
      <c r="B115" s="6" t="n">
        <v>80.8177917305403</v>
      </c>
      <c r="C115" s="9" t="n">
        <v>212.193</v>
      </c>
      <c r="D115" s="1" t="n">
        <v>1360.63</v>
      </c>
      <c r="E115" s="1" t="n">
        <v>989.84</v>
      </c>
      <c r="F115" s="1" t="n">
        <v>-370.79</v>
      </c>
      <c r="G115" s="1" t="n">
        <v>800.79863</v>
      </c>
      <c r="H115" s="1" t="n">
        <v>1031.1</v>
      </c>
      <c r="I115" s="3" t="n">
        <f aca="false">G115-H115</f>
        <v>-230.30137</v>
      </c>
      <c r="J115" s="1" t="n">
        <v>39.15052631579</v>
      </c>
      <c r="K115" s="1" t="n">
        <v>70.0982406239497</v>
      </c>
      <c r="L115" s="3" t="n">
        <f aca="false">B115*54.2221/B$137</f>
        <v>50.8986425544642</v>
      </c>
      <c r="M115" s="3" t="n">
        <f aca="false">C115*100/C$137</f>
        <v>96.8126508470246</v>
      </c>
      <c r="N115" s="3" t="n">
        <f aca="false">L115/M115</f>
        <v>0.52574371333856</v>
      </c>
      <c r="O115" s="1" t="n">
        <v>989.83274357062</v>
      </c>
      <c r="P115" s="1" t="n">
        <v>136.94016413</v>
      </c>
      <c r="Q115" s="1" t="n">
        <v>724.534902260949</v>
      </c>
      <c r="R115" s="1" t="n">
        <v>424.898289434826</v>
      </c>
    </row>
    <row r="116" customFormat="false" ht="15" hidden="false" customHeight="false" outlineLevel="0" collapsed="false">
      <c r="A116" s="5" t="n">
        <v>39873</v>
      </c>
      <c r="B116" s="6" t="n">
        <v>81.6996617588442</v>
      </c>
      <c r="C116" s="9" t="n">
        <v>212.709</v>
      </c>
      <c r="D116" s="1" t="n">
        <v>1761.28</v>
      </c>
      <c r="E116" s="1" t="n">
        <v>1242.31</v>
      </c>
      <c r="F116" s="1" t="n">
        <v>-518.97</v>
      </c>
      <c r="G116" s="1" t="n">
        <v>993.82567</v>
      </c>
      <c r="H116" s="1" t="n">
        <v>1125.8</v>
      </c>
      <c r="I116" s="3" t="n">
        <f aca="false">G116-H116</f>
        <v>-131.97433</v>
      </c>
      <c r="J116" s="1" t="n">
        <v>47.52090909091</v>
      </c>
      <c r="K116" s="1" t="n">
        <v>70.8631407297235</v>
      </c>
      <c r="L116" s="3" t="n">
        <f aca="false">B116*54.2221/B$137</f>
        <v>51.4540399043422</v>
      </c>
      <c r="M116" s="3" t="n">
        <f aca="false">C116*100/C$137</f>
        <v>97.0480748611865</v>
      </c>
      <c r="N116" s="3" t="n">
        <f aca="false">L116/M116</f>
        <v>0.530191247770138</v>
      </c>
      <c r="O116" s="1" t="n">
        <v>1242.30951455819</v>
      </c>
      <c r="P116" s="1" t="n">
        <v>311.65982868</v>
      </c>
      <c r="Q116" s="1" t="n">
        <v>889.223262022749</v>
      </c>
      <c r="R116" s="1" t="n">
        <v>573.103587727341</v>
      </c>
      <c r="S116" s="3" t="n">
        <f aca="false">SUM(O192:O194)</f>
        <v>0</v>
      </c>
      <c r="T116" s="3" t="n">
        <f aca="false">SUM(P192:P194)</f>
        <v>0</v>
      </c>
      <c r="U116" s="3" t="n">
        <f aca="false">SUM(Q192:Q194)</f>
        <v>0</v>
      </c>
      <c r="V116" s="3" t="n">
        <f aca="false">SUM(R192:R194)</f>
        <v>0</v>
      </c>
    </row>
    <row r="117" customFormat="false" ht="15" hidden="false" customHeight="false" outlineLevel="0" collapsed="false">
      <c r="A117" s="5" t="n">
        <v>39904</v>
      </c>
      <c r="B117" s="6" t="n">
        <v>82.2347699837864</v>
      </c>
      <c r="C117" s="9" t="n">
        <v>213.24</v>
      </c>
      <c r="D117" s="1" t="n">
        <v>1798.02</v>
      </c>
      <c r="E117" s="1" t="n">
        <v>1934.04</v>
      </c>
      <c r="F117" s="1" t="n">
        <v>136.02</v>
      </c>
      <c r="G117" s="1" t="n">
        <v>1018.14906</v>
      </c>
      <c r="H117" s="1" t="n">
        <v>1021</v>
      </c>
      <c r="I117" s="3" t="n">
        <f aca="false">G117-H117</f>
        <v>-2.85094000000004</v>
      </c>
      <c r="J117" s="1" t="n">
        <v>49.80904761905</v>
      </c>
      <c r="K117" s="1" t="n">
        <v>71.3272729994707</v>
      </c>
      <c r="L117" s="3" t="n">
        <f aca="false">B117*54.2221/B$137</f>
        <v>51.7910483982157</v>
      </c>
      <c r="M117" s="3" t="n">
        <f aca="false">C117*100/C$137</f>
        <v>97.2903425966904</v>
      </c>
      <c r="N117" s="3" t="n">
        <f aca="false">L117/M117</f>
        <v>0.532334937013342</v>
      </c>
      <c r="O117" s="1" t="n">
        <v>1934.03592519711</v>
      </c>
      <c r="P117" s="1" t="n">
        <v>367.5583426</v>
      </c>
      <c r="Q117" s="1" t="n">
        <v>1486.59878538703</v>
      </c>
      <c r="R117" s="1" t="n">
        <v>1074.79477042934</v>
      </c>
    </row>
    <row r="118" customFormat="false" ht="15" hidden="false" customHeight="false" outlineLevel="0" collapsed="false">
      <c r="A118" s="5" t="n">
        <v>39934</v>
      </c>
      <c r="B118" s="6" t="n">
        <v>82.2275968392106</v>
      </c>
      <c r="C118" s="9" t="n">
        <v>213.856</v>
      </c>
      <c r="D118" s="1" t="n">
        <v>1370.07</v>
      </c>
      <c r="E118" s="1" t="n">
        <v>1415.31</v>
      </c>
      <c r="F118" s="1" t="n">
        <v>45.24</v>
      </c>
      <c r="G118" s="1" t="n">
        <v>1113.44167</v>
      </c>
      <c r="H118" s="1" t="n">
        <v>1121.6</v>
      </c>
      <c r="I118" s="3" t="n">
        <f aca="false">G118-H118</f>
        <v>-8.15832999999998</v>
      </c>
      <c r="J118" s="1" t="n">
        <v>59.125</v>
      </c>
      <c r="K118" s="1" t="n">
        <v>71.3210512900706</v>
      </c>
      <c r="L118" s="3" t="n">
        <f aca="false">B118*54.2221/B$137</f>
        <v>51.7865307875022</v>
      </c>
      <c r="M118" s="3" t="n">
        <f aca="false">C118*100/C$137</f>
        <v>97.5713914197984</v>
      </c>
      <c r="N118" s="3" t="n">
        <f aca="false">L118/M118</f>
        <v>0.530755276049022</v>
      </c>
      <c r="O118" s="1" t="n">
        <v>1415.30833740329</v>
      </c>
      <c r="P118" s="1" t="n">
        <v>389.01588818</v>
      </c>
      <c r="Q118" s="1" t="n">
        <v>940.560015238053</v>
      </c>
      <c r="R118" s="1" t="n">
        <v>541.51808101092</v>
      </c>
    </row>
    <row r="119" customFormat="false" ht="15" hidden="false" customHeight="false" outlineLevel="0" collapsed="false">
      <c r="A119" s="5" t="n">
        <v>39965</v>
      </c>
      <c r="B119" s="6" t="n">
        <v>82.165439138971</v>
      </c>
      <c r="C119" s="9" t="n">
        <v>215.693</v>
      </c>
      <c r="D119" s="1" t="n">
        <v>1514.85</v>
      </c>
      <c r="E119" s="1" t="n">
        <v>1432.59</v>
      </c>
      <c r="F119" s="1" t="n">
        <v>-82.26</v>
      </c>
      <c r="G119" s="1" t="n">
        <v>1167.33698</v>
      </c>
      <c r="H119" s="1" t="n">
        <v>1091</v>
      </c>
      <c r="I119" s="3" t="n">
        <f aca="false">G119-H119</f>
        <v>76.33698</v>
      </c>
      <c r="J119" s="1" t="n">
        <v>69.62136363636</v>
      </c>
      <c r="K119" s="1" t="n">
        <v>71.2671380942912</v>
      </c>
      <c r="L119" s="3" t="n">
        <f aca="false">B119*54.2221/B$137</f>
        <v>51.7473841775943</v>
      </c>
      <c r="M119" s="3" t="n">
        <f aca="false">C119*100/C$137</f>
        <v>98.4095191601385</v>
      </c>
      <c r="N119" s="3" t="n">
        <f aca="false">L119/M119</f>
        <v>0.525837181394896</v>
      </c>
      <c r="O119" s="1" t="n">
        <v>1432.59103978156</v>
      </c>
      <c r="P119" s="1" t="n">
        <v>459.1552744</v>
      </c>
      <c r="Q119" s="1" t="n">
        <v>874.080603696653</v>
      </c>
      <c r="R119" s="1" t="n">
        <v>520.054823971913</v>
      </c>
      <c r="S119" s="3" t="n">
        <f aca="false">SUM(O195:O197)</f>
        <v>0</v>
      </c>
      <c r="T119" s="3" t="n">
        <f aca="false">SUM(P195:P197)</f>
        <v>0</v>
      </c>
      <c r="U119" s="3" t="n">
        <f aca="false">SUM(Q195:Q197)</f>
        <v>0</v>
      </c>
      <c r="V119" s="3" t="n">
        <f aca="false">SUM(R195:R197)</f>
        <v>0</v>
      </c>
    </row>
    <row r="120" customFormat="false" ht="15" hidden="false" customHeight="false" outlineLevel="0" collapsed="false">
      <c r="A120" s="5" t="n">
        <v>39995</v>
      </c>
      <c r="B120" s="6" t="n">
        <v>82.1050649552487</v>
      </c>
      <c r="C120" s="9" t="n">
        <v>215.351</v>
      </c>
      <c r="D120" s="1" t="n">
        <v>1535.26</v>
      </c>
      <c r="E120" s="1" t="n">
        <v>1518.02</v>
      </c>
      <c r="F120" s="1" t="n">
        <v>-17.24</v>
      </c>
      <c r="G120" s="1" t="n">
        <v>1237.43236</v>
      </c>
      <c r="H120" s="1" t="n">
        <v>1154.3</v>
      </c>
      <c r="I120" s="3" t="n">
        <f aca="false">G120-H120</f>
        <v>83.1323600000001</v>
      </c>
      <c r="J120" s="1" t="n">
        <v>64.12045454545</v>
      </c>
      <c r="K120" s="1" t="n">
        <v>71.2147718520638</v>
      </c>
      <c r="L120" s="3" t="n">
        <f aca="false">B120*54.2221/B$137</f>
        <v>51.7093608175024</v>
      </c>
      <c r="M120" s="3" t="n">
        <f aca="false">C120*100/C$137</f>
        <v>98.2534823135428</v>
      </c>
      <c r="N120" s="3" t="n">
        <f aca="false">L120/M120</f>
        <v>0.52628527355895</v>
      </c>
      <c r="O120" s="1" t="n">
        <v>1518.02170143277</v>
      </c>
      <c r="P120" s="1" t="n">
        <v>520.54144205</v>
      </c>
      <c r="Q120" s="1" t="n">
        <v>1013.06921792951</v>
      </c>
      <c r="R120" s="1" t="n">
        <v>711.441717608681</v>
      </c>
    </row>
    <row r="121" customFormat="false" ht="15" hidden="false" customHeight="false" outlineLevel="0" collapsed="false">
      <c r="A121" s="5" t="n">
        <v>40026</v>
      </c>
      <c r="B121" s="6" t="n">
        <v>81.8606314808419</v>
      </c>
      <c r="C121" s="9" t="n">
        <v>215.834</v>
      </c>
      <c r="D121" s="1" t="n">
        <v>1572.44</v>
      </c>
      <c r="E121" s="1" t="n">
        <v>1314.26</v>
      </c>
      <c r="F121" s="1" t="n">
        <v>-258.18</v>
      </c>
      <c r="G121" s="1" t="n">
        <v>1359.23426</v>
      </c>
      <c r="H121" s="1" t="n">
        <v>1082.5</v>
      </c>
      <c r="I121" s="3" t="n">
        <f aca="false">G121-H121</f>
        <v>276.73426</v>
      </c>
      <c r="J121" s="1" t="n">
        <v>71.06</v>
      </c>
      <c r="K121" s="1" t="n">
        <v>71.0027596683773</v>
      </c>
      <c r="L121" s="3" t="n">
        <f aca="false">B121*54.2221/B$137</f>
        <v>51.5554178332192</v>
      </c>
      <c r="M121" s="3" t="n">
        <f aca="false">C121*100/C$137</f>
        <v>98.4738501407526</v>
      </c>
      <c r="N121" s="3" t="n">
        <f aca="false">L121/M121</f>
        <v>0.523544248138252</v>
      </c>
      <c r="O121" s="1" t="n">
        <v>1314.2620802877</v>
      </c>
      <c r="P121" s="1" t="n">
        <v>402.09624487</v>
      </c>
      <c r="Q121" s="1" t="n">
        <v>831.529767909764</v>
      </c>
      <c r="R121" s="1" t="n">
        <v>524.44571612905</v>
      </c>
    </row>
    <row r="122" customFormat="false" ht="15" hidden="false" customHeight="false" outlineLevel="0" collapsed="false">
      <c r="A122" s="5" t="n">
        <v>40057</v>
      </c>
      <c r="B122" s="6" t="n">
        <v>82.3726474588285</v>
      </c>
      <c r="C122" s="9" t="n">
        <v>215.969</v>
      </c>
      <c r="D122" s="1" t="n">
        <v>1637.47</v>
      </c>
      <c r="E122" s="1" t="n">
        <v>1989.22</v>
      </c>
      <c r="F122" s="1" t="n">
        <v>351.75</v>
      </c>
      <c r="G122" s="1" t="n">
        <v>1212.69059</v>
      </c>
      <c r="H122" s="1" t="n">
        <v>1266.8</v>
      </c>
      <c r="I122" s="3" t="n">
        <f aca="false">G122-H122</f>
        <v>-54.10941</v>
      </c>
      <c r="J122" s="1" t="n">
        <v>69.44333333333</v>
      </c>
      <c r="K122" s="1" t="n">
        <v>71.4468626122919</v>
      </c>
      <c r="L122" s="3" t="n">
        <f aca="false">B122*54.2221/B$137</f>
        <v>51.8778829450179</v>
      </c>
      <c r="M122" s="3" t="n">
        <f aca="false">C122*100/C$137</f>
        <v>98.5354436328298</v>
      </c>
      <c r="N122" s="3" t="n">
        <f aca="false">L122/M122</f>
        <v>0.526489565910204</v>
      </c>
      <c r="O122" s="1" t="n">
        <v>1989.21615871256</v>
      </c>
      <c r="P122" s="1" t="n">
        <v>655.218065438249</v>
      </c>
      <c r="Q122" s="1" t="n">
        <v>1268.36171514463</v>
      </c>
      <c r="R122" s="1" t="n">
        <v>709.045558306688</v>
      </c>
      <c r="S122" s="3" t="n">
        <f aca="false">SUM(O198:O200)</f>
        <v>0</v>
      </c>
      <c r="T122" s="3" t="n">
        <f aca="false">SUM(P198:P200)</f>
        <v>0</v>
      </c>
      <c r="U122" s="3" t="n">
        <f aca="false">SUM(Q198:Q200)</f>
        <v>0</v>
      </c>
      <c r="V122" s="3" t="n">
        <f aca="false">SUM(R198:R200)</f>
        <v>0</v>
      </c>
    </row>
    <row r="123" customFormat="false" ht="15" hidden="false" customHeight="false" outlineLevel="0" collapsed="false">
      <c r="A123" s="5" t="n">
        <v>40087</v>
      </c>
      <c r="B123" s="6" t="n">
        <v>82.5678876365563</v>
      </c>
      <c r="C123" s="9" t="n">
        <v>216.177</v>
      </c>
      <c r="D123" s="1" t="n">
        <v>2052.45</v>
      </c>
      <c r="E123" s="1" t="n">
        <v>1679.89</v>
      </c>
      <c r="F123" s="1" t="n">
        <v>-372.56</v>
      </c>
      <c r="G123" s="1" t="n">
        <v>1369.49012</v>
      </c>
      <c r="H123" s="1" t="n">
        <v>1285.8</v>
      </c>
      <c r="I123" s="3" t="n">
        <f aca="false">G123-H123</f>
        <v>83.6901200000002</v>
      </c>
      <c r="J123" s="1" t="n">
        <v>75.77227272727</v>
      </c>
      <c r="K123" s="1" t="n">
        <v>71.6162064246477</v>
      </c>
      <c r="L123" s="3" t="n">
        <f aca="false">B123*54.2221/B$137</f>
        <v>52.00084423616</v>
      </c>
      <c r="M123" s="3" t="n">
        <f aca="false">C123*100/C$137</f>
        <v>98.6303432354377</v>
      </c>
      <c r="N123" s="3" t="n">
        <f aca="false">L123/M123</f>
        <v>0.527229679329314</v>
      </c>
      <c r="O123" s="1" t="n">
        <v>1679.88878473144</v>
      </c>
      <c r="P123" s="1" t="n">
        <v>646.432269657205</v>
      </c>
      <c r="Q123" s="1" t="n">
        <v>963.378189914121</v>
      </c>
      <c r="R123" s="1" t="n">
        <v>568.119551682181</v>
      </c>
    </row>
    <row r="124" customFormat="false" ht="15" hidden="false" customHeight="false" outlineLevel="0" collapsed="false">
      <c r="A124" s="5" t="n">
        <v>40118</v>
      </c>
      <c r="B124" s="6" t="n">
        <v>82.8451198955328</v>
      </c>
      <c r="C124" s="9" t="n">
        <v>216.33</v>
      </c>
      <c r="D124" s="1" t="n">
        <v>1885.1</v>
      </c>
      <c r="E124" s="1" t="n">
        <v>2068.69</v>
      </c>
      <c r="F124" s="1" t="n">
        <v>183.59</v>
      </c>
      <c r="G124" s="1" t="n">
        <v>1249.44765</v>
      </c>
      <c r="H124" s="1" t="n">
        <v>1274.1</v>
      </c>
      <c r="I124" s="3" t="n">
        <f aca="false">G124-H124</f>
        <v>-24.6523500000001</v>
      </c>
      <c r="J124" s="1" t="n">
        <v>77.995</v>
      </c>
      <c r="K124" s="1" t="n">
        <v>71.856667011139</v>
      </c>
      <c r="L124" s="3" t="n">
        <f aca="false">B124*54.2221/B$137</f>
        <v>52.1754437315441</v>
      </c>
      <c r="M124" s="3" t="n">
        <f aca="false">C124*100/C$137</f>
        <v>98.7001491931253</v>
      </c>
      <c r="N124" s="3" t="n">
        <f aca="false">L124/M124</f>
        <v>0.528625783831928</v>
      </c>
      <c r="O124" s="1" t="n">
        <v>2068.68996964343</v>
      </c>
      <c r="P124" s="1" t="n">
        <v>591.071327485754</v>
      </c>
      <c r="Q124" s="1" t="n">
        <v>1385.30332864774</v>
      </c>
      <c r="R124" s="1" t="n">
        <v>634.358719340647</v>
      </c>
    </row>
    <row r="125" customFormat="false" ht="15" hidden="false" customHeight="false" outlineLevel="0" collapsed="false">
      <c r="A125" s="5" t="n">
        <v>40148</v>
      </c>
      <c r="B125" s="6" t="n">
        <v>83.3218573593667</v>
      </c>
      <c r="C125" s="9" t="n">
        <v>215.949</v>
      </c>
      <c r="D125" s="1" t="n">
        <v>2985.2</v>
      </c>
      <c r="E125" s="1" t="n">
        <v>1580.23</v>
      </c>
      <c r="F125" s="1" t="n">
        <v>-1404.97</v>
      </c>
      <c r="G125" s="1" t="n">
        <v>1467.51754</v>
      </c>
      <c r="H125" s="1" t="n">
        <v>1418.1</v>
      </c>
      <c r="I125" s="3" t="n">
        <f aca="false">G125-H125</f>
        <v>49.4175400000001</v>
      </c>
      <c r="J125" s="1" t="n">
        <v>74.48727272727</v>
      </c>
      <c r="K125" s="1" t="n">
        <v>72.2701707302916</v>
      </c>
      <c r="L125" s="3" t="n">
        <f aca="false">B125*54.2221/B$137</f>
        <v>52.4756906109058</v>
      </c>
      <c r="M125" s="3" t="n">
        <f aca="false">C125*100/C$137</f>
        <v>98.5263186710406</v>
      </c>
      <c r="N125" s="3" t="n">
        <f aca="false">L125/M125</f>
        <v>0.532605818614938</v>
      </c>
      <c r="O125" s="1" t="n">
        <v>1580.23390644913</v>
      </c>
      <c r="P125" s="1" t="n">
        <v>528.055693031859</v>
      </c>
      <c r="Q125" s="1" t="n">
        <v>1042.42996111476</v>
      </c>
      <c r="R125" s="1" t="n">
        <v>640.252431776641</v>
      </c>
      <c r="S125" s="3" t="n">
        <f aca="false">SUM(O201:O203)</f>
        <v>0</v>
      </c>
      <c r="T125" s="3" t="n">
        <f aca="false">SUM(P201:P203)</f>
        <v>0</v>
      </c>
      <c r="U125" s="3" t="n">
        <f aca="false">SUM(Q201:Q203)</f>
        <v>0</v>
      </c>
      <c r="V125" s="3" t="n">
        <f aca="false">SUM(R201:R203)</f>
        <v>0</v>
      </c>
    </row>
    <row r="126" customFormat="false" ht="15" hidden="false" customHeight="false" outlineLevel="0" collapsed="false">
      <c r="A126" s="5" t="n">
        <v>40179</v>
      </c>
      <c r="B126" s="6" t="n">
        <v>84.0139903347642</v>
      </c>
      <c r="C126" s="9" t="n">
        <v>216.687</v>
      </c>
      <c r="D126" s="1" t="n">
        <v>1392.48</v>
      </c>
      <c r="E126" s="1" t="n">
        <v>1974.9</v>
      </c>
      <c r="F126" s="1" t="n">
        <v>582.42</v>
      </c>
      <c r="G126" s="1" t="n">
        <v>1334.44896</v>
      </c>
      <c r="H126" s="1" t="n">
        <v>1392.7</v>
      </c>
      <c r="I126" s="3" t="n">
        <f aca="false">G126-H126</f>
        <v>-58.2510400000001</v>
      </c>
      <c r="J126" s="1" t="n">
        <v>78.35526315789</v>
      </c>
      <c r="K126" s="1" t="n">
        <v>72.8705002222796</v>
      </c>
      <c r="L126" s="3" t="n">
        <f aca="false">B126*54.2221/B$137</f>
        <v>52.9115925102348</v>
      </c>
      <c r="M126" s="3" t="n">
        <f aca="false">C126*100/C$137</f>
        <v>98.8630297610629</v>
      </c>
      <c r="N126" s="3" t="n">
        <f aca="false">L126/M126</f>
        <v>0.535201001204537</v>
      </c>
      <c r="O126" s="1" t="n">
        <v>1974.90084545243</v>
      </c>
      <c r="P126" s="1" t="n">
        <v>751.386743995414</v>
      </c>
      <c r="Q126" s="1" t="n">
        <v>1117.99454016077</v>
      </c>
      <c r="R126" s="1" t="n">
        <v>752.49702693</v>
      </c>
    </row>
    <row r="127" customFormat="false" ht="15" hidden="false" customHeight="false" outlineLevel="0" collapsed="false">
      <c r="A127" s="5" t="n">
        <v>40210</v>
      </c>
      <c r="B127" s="6" t="n">
        <v>84.300315394084</v>
      </c>
      <c r="C127" s="9" t="n">
        <v>216.741</v>
      </c>
      <c r="D127" s="1" t="n">
        <v>1594.91</v>
      </c>
      <c r="E127" s="1" t="n">
        <v>1576.76</v>
      </c>
      <c r="F127" s="1" t="n">
        <v>-18.15</v>
      </c>
      <c r="G127" s="1" t="n">
        <v>1286.13341</v>
      </c>
      <c r="H127" s="1" t="n">
        <v>1204</v>
      </c>
      <c r="I127" s="3" t="n">
        <f aca="false">G127-H127</f>
        <v>82.1334099999999</v>
      </c>
      <c r="J127" s="1" t="n">
        <v>76.41315789474</v>
      </c>
      <c r="K127" s="1" t="n">
        <v>73.1188475536665</v>
      </c>
      <c r="L127" s="3" t="n">
        <f aca="false">B127*54.2221/B$137</f>
        <v>53.0919186059699</v>
      </c>
      <c r="M127" s="3" t="n">
        <f aca="false">C127*100/C$137</f>
        <v>98.8876671578938</v>
      </c>
      <c r="N127" s="3" t="n">
        <f aca="false">L127/M127</f>
        <v>0.536891203239714</v>
      </c>
      <c r="O127" s="1" t="n">
        <v>1576.75870992912</v>
      </c>
      <c r="P127" s="1" t="n">
        <v>515.600630676907</v>
      </c>
      <c r="Q127" s="1" t="n">
        <v>956.198330813814</v>
      </c>
      <c r="R127" s="1" t="n">
        <v>587.3314345</v>
      </c>
    </row>
    <row r="128" customFormat="false" ht="15" hidden="false" customHeight="false" outlineLevel="0" collapsed="false">
      <c r="A128" s="5" t="n">
        <v>40238</v>
      </c>
      <c r="B128" s="6" t="n">
        <v>84.4376619411323</v>
      </c>
      <c r="C128" s="9" t="n">
        <v>217.631</v>
      </c>
      <c r="D128" s="1" t="n">
        <v>1910.11</v>
      </c>
      <c r="E128" s="1" t="n">
        <v>2257</v>
      </c>
      <c r="F128" s="1" t="n">
        <v>346.89</v>
      </c>
      <c r="G128" s="1" t="n">
        <v>1514.77253</v>
      </c>
      <c r="H128" s="1" t="n">
        <v>1435.8</v>
      </c>
      <c r="I128" s="3" t="n">
        <f aca="false">G128-H128</f>
        <v>78.97253</v>
      </c>
      <c r="J128" s="1" t="n">
        <v>81.25043478261</v>
      </c>
      <c r="K128" s="1" t="n">
        <v>73.2379766599896</v>
      </c>
      <c r="L128" s="3" t="n">
        <f aca="false">B128*54.2221/B$137</f>
        <v>53.1784187769671</v>
      </c>
      <c r="M128" s="3" t="n">
        <f aca="false">C128*100/C$137</f>
        <v>99.2937279575142</v>
      </c>
      <c r="N128" s="3" t="n">
        <f aca="false">L128/M128</f>
        <v>0.535566745965275</v>
      </c>
      <c r="O128" s="1" t="n">
        <v>2257.00313317152</v>
      </c>
      <c r="P128" s="1" t="n">
        <v>657.12499627461</v>
      </c>
      <c r="Q128" s="1" t="n">
        <v>1469.10350988946</v>
      </c>
      <c r="R128" s="1" t="n">
        <v>768.28175207</v>
      </c>
      <c r="S128" s="3" t="n">
        <f aca="false">SUM(O204:O206)</f>
        <v>0</v>
      </c>
      <c r="T128" s="3" t="n">
        <f aca="false">SUM(P204:P206)</f>
        <v>0</v>
      </c>
      <c r="U128" s="3" t="n">
        <f aca="false">SUM(Q204:Q206)</f>
        <v>0</v>
      </c>
      <c r="V128" s="3" t="n">
        <f aca="false">SUM(R204:R206)</f>
        <v>0</v>
      </c>
    </row>
    <row r="129" customFormat="false" ht="15" hidden="false" customHeight="false" outlineLevel="0" collapsed="false">
      <c r="A129" s="5" t="n">
        <v>40269</v>
      </c>
      <c r="B129" s="6" t="n">
        <v>84.8744739332226</v>
      </c>
      <c r="C129" s="9" t="n">
        <v>218.009</v>
      </c>
      <c r="D129" s="1" t="n">
        <v>2113.22</v>
      </c>
      <c r="E129" s="1" t="n">
        <v>2200.74</v>
      </c>
      <c r="F129" s="1" t="n">
        <v>87.52</v>
      </c>
      <c r="G129" s="1" t="n">
        <v>1576.83001</v>
      </c>
      <c r="H129" s="1" t="n">
        <v>1677.2</v>
      </c>
      <c r="I129" s="3" t="n">
        <f aca="false">G129-H129</f>
        <v>-100.36999</v>
      </c>
      <c r="J129" s="1" t="n">
        <v>84.47761904762</v>
      </c>
      <c r="K129" s="1" t="n">
        <v>73.6168505622989</v>
      </c>
      <c r="L129" s="3" t="n">
        <f aca="false">B129*54.2221/B$137</f>
        <v>53.4535207931548</v>
      </c>
      <c r="M129" s="3" t="n">
        <f aca="false">C129*100/C$137</f>
        <v>99.4661897353305</v>
      </c>
      <c r="N129" s="3" t="n">
        <f aca="false">L129/M129</f>
        <v>0.537403925247254</v>
      </c>
      <c r="O129" s="1" t="n">
        <v>2200.74195794725</v>
      </c>
      <c r="P129" s="1" t="n">
        <v>732.337353258953</v>
      </c>
      <c r="Q129" s="1" t="n">
        <v>1385.06791457691</v>
      </c>
      <c r="R129" s="1" t="n">
        <v>1024.35181170388</v>
      </c>
    </row>
    <row r="130" customFormat="false" ht="15" hidden="false" customHeight="false" outlineLevel="0" collapsed="false">
      <c r="A130" s="5" t="n">
        <v>40299</v>
      </c>
      <c r="B130" s="6" t="n">
        <v>84.8886972846463</v>
      </c>
      <c r="C130" s="9" t="n">
        <v>218.178</v>
      </c>
      <c r="D130" s="1" t="n">
        <v>1900.39</v>
      </c>
      <c r="E130" s="1" t="n">
        <v>1991.41</v>
      </c>
      <c r="F130" s="1" t="n">
        <v>91.02</v>
      </c>
      <c r="G130" s="1" t="n">
        <v>1360.06249</v>
      </c>
      <c r="H130" s="1" t="n">
        <v>1531.5</v>
      </c>
      <c r="I130" s="3" t="n">
        <f aca="false">G130-H130</f>
        <v>-171.43751</v>
      </c>
      <c r="J130" s="1" t="n">
        <v>73.73</v>
      </c>
      <c r="K130" s="1" t="n">
        <v>73.6291873496477</v>
      </c>
      <c r="L130" s="3" t="n">
        <f aca="false">B130*54.2221/B$137</f>
        <v>53.4624785890131</v>
      </c>
      <c r="M130" s="3" t="n">
        <f aca="false">C130*100/C$137</f>
        <v>99.5432956624494</v>
      </c>
      <c r="N130" s="3" t="n">
        <f aca="false">L130/M130</f>
        <v>0.537077642780725</v>
      </c>
      <c r="O130" s="1" t="n">
        <v>1991.40342816329</v>
      </c>
      <c r="P130" s="1" t="n">
        <v>730.310733249871</v>
      </c>
      <c r="Q130" s="1" t="n">
        <v>1147.00384056837</v>
      </c>
      <c r="R130" s="1" t="n">
        <v>670.088375603876</v>
      </c>
    </row>
    <row r="131" customFormat="false" ht="15" hidden="false" customHeight="false" outlineLevel="0" collapsed="false">
      <c r="A131" s="5" t="n">
        <v>40330</v>
      </c>
      <c r="B131" s="6" t="n">
        <v>84.8808830793088</v>
      </c>
      <c r="C131" s="9" t="n">
        <v>217.965</v>
      </c>
      <c r="D131" s="1" t="n">
        <v>1883.58</v>
      </c>
      <c r="E131" s="1" t="n">
        <v>1682.51</v>
      </c>
      <c r="F131" s="1" t="n">
        <v>-201.07</v>
      </c>
      <c r="G131" s="1" t="n">
        <v>1469.96968</v>
      </c>
      <c r="H131" s="1" t="n">
        <v>1556.6</v>
      </c>
      <c r="I131" s="3" t="n">
        <f aca="false">G131-H131</f>
        <v>-86.63032</v>
      </c>
      <c r="J131" s="1" t="n">
        <v>75.35363636364</v>
      </c>
      <c r="K131" s="1" t="n">
        <v>73.6224096088272</v>
      </c>
      <c r="L131" s="3" t="n">
        <f aca="false">B131*54.2221/B$137</f>
        <v>53.4575572414261</v>
      </c>
      <c r="M131" s="3" t="n">
        <f aca="false">C131*100/C$137</f>
        <v>99.4461148193942</v>
      </c>
      <c r="N131" s="3" t="n">
        <f aca="false">L131/M131</f>
        <v>0.537552998812586</v>
      </c>
      <c r="O131" s="1" t="n">
        <v>1682.51235946644</v>
      </c>
      <c r="P131" s="1" t="n">
        <v>549.316567749019</v>
      </c>
      <c r="Q131" s="1" t="n">
        <v>1077.8720982855</v>
      </c>
      <c r="R131" s="1" t="n">
        <v>659.925648383876</v>
      </c>
      <c r="S131" s="3" t="n">
        <f aca="false">SUM(O207:O209)</f>
        <v>0</v>
      </c>
      <c r="T131" s="3" t="n">
        <f aca="false">SUM(P207:P209)</f>
        <v>0</v>
      </c>
      <c r="U131" s="3" t="n">
        <f aca="false">SUM(Q207:Q209)</f>
        <v>0</v>
      </c>
      <c r="V131" s="3" t="n">
        <f aca="false">SUM(R207:R209)</f>
        <v>0</v>
      </c>
    </row>
    <row r="132" customFormat="false" ht="15" hidden="false" customHeight="false" outlineLevel="0" collapsed="false">
      <c r="A132" s="5" t="n">
        <v>40360</v>
      </c>
      <c r="B132" s="6" t="n">
        <v>84.8974887546035</v>
      </c>
      <c r="C132" s="9" t="n">
        <v>218.011</v>
      </c>
      <c r="D132" s="1" t="n">
        <v>1944.64</v>
      </c>
      <c r="E132" s="1" t="n">
        <v>1953.34</v>
      </c>
      <c r="F132" s="1" t="n">
        <v>8.7</v>
      </c>
      <c r="G132" s="1" t="n">
        <v>1397.91941</v>
      </c>
      <c r="H132" s="1" t="n">
        <v>1710.3</v>
      </c>
      <c r="I132" s="3" t="n">
        <f aca="false">G132-H132</f>
        <v>-312.38059</v>
      </c>
      <c r="J132" s="1" t="n">
        <v>76.35047619048</v>
      </c>
      <c r="K132" s="1" t="n">
        <v>73.6368127321693</v>
      </c>
      <c r="L132" s="3" t="n">
        <f aca="false">B132*54.2221/B$137</f>
        <v>53.4680154129883</v>
      </c>
      <c r="M132" s="3" t="n">
        <f aca="false">C132*100/C$137</f>
        <v>99.4671022315094</v>
      </c>
      <c r="N132" s="3" t="n">
        <f aca="false">L132/M132</f>
        <v>0.537544717936405</v>
      </c>
      <c r="O132" s="1" t="n">
        <v>1953.33733702868</v>
      </c>
      <c r="P132" s="1" t="n">
        <v>730.485067351706</v>
      </c>
      <c r="Q132" s="1" t="n">
        <v>1143.77451278893</v>
      </c>
      <c r="R132" s="1" t="n">
        <v>749.081911673876</v>
      </c>
    </row>
    <row r="133" customFormat="false" ht="15" hidden="false" customHeight="false" outlineLevel="0" collapsed="false">
      <c r="A133" s="5" t="n">
        <v>40391</v>
      </c>
      <c r="B133" s="6" t="n">
        <v>84.9879290882889</v>
      </c>
      <c r="C133" s="9" t="n">
        <v>218.312</v>
      </c>
      <c r="D133" s="1" t="n">
        <v>1974.62</v>
      </c>
      <c r="E133" s="1" t="n">
        <v>1754.75</v>
      </c>
      <c r="F133" s="1" t="n">
        <v>-219.87</v>
      </c>
      <c r="G133" s="1" t="n">
        <v>1328.43131</v>
      </c>
      <c r="H133" s="1" t="n">
        <v>1916.4</v>
      </c>
      <c r="I133" s="3" t="n">
        <f aca="false">G133-H133</f>
        <v>-587.96869</v>
      </c>
      <c r="J133" s="1" t="n">
        <v>76.60181818182</v>
      </c>
      <c r="K133" s="1" t="n">
        <v>73.7152571951649</v>
      </c>
      <c r="L133" s="3" t="n">
        <f aca="false">B133*54.2221/B$137</f>
        <v>53.5249742845213</v>
      </c>
      <c r="M133" s="3" t="n">
        <f aca="false">C133*100/C$137</f>
        <v>99.6044329064372</v>
      </c>
      <c r="N133" s="3" t="n">
        <f aca="false">L133/M133</f>
        <v>0.53737542318824</v>
      </c>
      <c r="O133" s="1" t="n">
        <v>1754.75470052276</v>
      </c>
      <c r="P133" s="1" t="n">
        <v>519.862963807231</v>
      </c>
      <c r="Q133" s="1" t="n">
        <v>1018.93337258833</v>
      </c>
      <c r="R133" s="1" t="n">
        <v>633.081872013877</v>
      </c>
    </row>
    <row r="134" customFormat="false" ht="15" hidden="false" customHeight="false" outlineLevel="0" collapsed="false">
      <c r="A134" s="5" t="n">
        <v>40422</v>
      </c>
      <c r="B134" s="6" t="n">
        <v>85.2063065606174</v>
      </c>
      <c r="C134" s="9" t="n">
        <v>218.439</v>
      </c>
      <c r="D134" s="1" t="n">
        <v>1915.5</v>
      </c>
      <c r="E134" s="1" t="n">
        <v>1772.56</v>
      </c>
      <c r="F134" s="1" t="n">
        <v>-142.94</v>
      </c>
      <c r="G134" s="1" t="n">
        <v>1392.25847</v>
      </c>
      <c r="H134" s="1" t="n">
        <v>1568.3</v>
      </c>
      <c r="I134" s="3" t="n">
        <f aca="false">G134-H134</f>
        <v>-176.04153</v>
      </c>
      <c r="J134" s="1" t="n">
        <v>75.29142857143</v>
      </c>
      <c r="K134" s="1" t="n">
        <v>73.9046694059461</v>
      </c>
      <c r="L134" s="3" t="n">
        <f aca="false">B134*54.2221/B$137</f>
        <v>53.6625073285205</v>
      </c>
      <c r="M134" s="3" t="n">
        <f aca="false">C134*100/C$137</f>
        <v>99.6623764137988</v>
      </c>
      <c r="N134" s="3" t="n">
        <f aca="false">L134/M134</f>
        <v>0.538442983796749</v>
      </c>
      <c r="O134" s="1" t="n">
        <v>1772.56387246855</v>
      </c>
      <c r="P134" s="1" t="n">
        <v>633.8762268592</v>
      </c>
      <c r="Q134" s="1" t="n">
        <v>1158.28011663439</v>
      </c>
      <c r="R134" s="1" t="n">
        <v>758.3666687</v>
      </c>
      <c r="S134" s="3" t="n">
        <f aca="false">SUM(O210:O212)</f>
        <v>0</v>
      </c>
      <c r="T134" s="3" t="n">
        <f aca="false">SUM(P210:P212)</f>
        <v>0</v>
      </c>
      <c r="U134" s="3" t="n">
        <f aca="false">SUM(Q210:Q212)</f>
        <v>0</v>
      </c>
      <c r="V134" s="3" t="n">
        <f aca="false">SUM(R210:R212)</f>
        <v>0</v>
      </c>
    </row>
    <row r="135" customFormat="false" ht="15" hidden="false" customHeight="false" outlineLevel="0" collapsed="false">
      <c r="A135" s="5" t="n">
        <v>40452</v>
      </c>
      <c r="B135" s="6" t="n">
        <v>85.4230041754569</v>
      </c>
      <c r="C135" s="9" t="n">
        <v>218.711</v>
      </c>
      <c r="D135" s="1" t="n">
        <v>2080.77</v>
      </c>
      <c r="E135" s="1" t="n">
        <v>1981.4</v>
      </c>
      <c r="F135" s="1" t="n">
        <v>-99.37</v>
      </c>
      <c r="G135" s="1" t="n">
        <v>1613.4366</v>
      </c>
      <c r="H135" s="1" t="n">
        <v>1752</v>
      </c>
      <c r="I135" s="3" t="n">
        <f aca="false">G135-H135</f>
        <v>-138.5634</v>
      </c>
      <c r="J135" s="1" t="n">
        <v>81.89952380952</v>
      </c>
      <c r="K135" s="1" t="n">
        <v>74.0926245730249</v>
      </c>
      <c r="L135" s="3" t="n">
        <f aca="false">B135*54.2221/B$137</f>
        <v>53.7989824066431</v>
      </c>
      <c r="M135" s="3" t="n">
        <f aca="false">C135*100/C$137</f>
        <v>99.7864758941322</v>
      </c>
      <c r="N135" s="3" t="n">
        <f aca="false">L135/M135</f>
        <v>0.539141020108985</v>
      </c>
      <c r="O135" s="1" t="n">
        <v>1981.40118451999</v>
      </c>
      <c r="P135" s="1" t="n">
        <v>703.060088855858</v>
      </c>
      <c r="Q135" s="1" t="n">
        <v>1127.16279542239</v>
      </c>
      <c r="R135" s="1" t="n">
        <v>652.69596636</v>
      </c>
    </row>
    <row r="136" customFormat="false" ht="15" hidden="false" customHeight="false" outlineLevel="0" collapsed="false">
      <c r="A136" s="5" t="n">
        <v>40483</v>
      </c>
      <c r="B136" s="6" t="n">
        <v>85.6542604908151</v>
      </c>
      <c r="C136" s="9" t="n">
        <v>218.803</v>
      </c>
      <c r="D136" s="1" t="n">
        <v>2159.58</v>
      </c>
      <c r="E136" s="1" t="n">
        <v>1909.52</v>
      </c>
      <c r="F136" s="1" t="n">
        <v>-250.06</v>
      </c>
      <c r="G136" s="1" t="n">
        <v>1489.38181</v>
      </c>
      <c r="H136" s="1" t="n">
        <v>1903.7</v>
      </c>
      <c r="I136" s="3" t="n">
        <f aca="false">G136-H136</f>
        <v>-414.31819</v>
      </c>
      <c r="J136" s="1" t="n">
        <v>84.23619047619</v>
      </c>
      <c r="K136" s="1" t="n">
        <v>74.2932073963447</v>
      </c>
      <c r="L136" s="3" t="n">
        <f aca="false">B136*54.2221/B$137</f>
        <v>53.9446264818131</v>
      </c>
      <c r="M136" s="3" t="n">
        <f aca="false">C136*100/C$137</f>
        <v>99.8284507183626</v>
      </c>
      <c r="N136" s="3" t="n">
        <f aca="false">L136/M136</f>
        <v>0.540373271283178</v>
      </c>
      <c r="O136" s="1" t="n">
        <v>1909.51608815878</v>
      </c>
      <c r="P136" s="1" t="n">
        <v>585.188334020418</v>
      </c>
      <c r="Q136" s="1" t="n">
        <v>1086.78006809468</v>
      </c>
      <c r="R136" s="1" t="n">
        <v>687.047749853876</v>
      </c>
    </row>
    <row r="137" s="13" customFormat="true" ht="15" hidden="false" customHeight="false" outlineLevel="0" collapsed="false">
      <c r="A137" s="10" t="n">
        <v>40513</v>
      </c>
      <c r="B137" s="11" t="n">
        <v>86.0948379969749</v>
      </c>
      <c r="C137" s="12" t="n">
        <v>219.179</v>
      </c>
      <c r="D137" s="13" t="n">
        <v>3252.75</v>
      </c>
      <c r="E137" s="13" t="n">
        <v>2123.51</v>
      </c>
      <c r="F137" s="13" t="n">
        <v>-1129.24</v>
      </c>
      <c r="G137" s="13" t="n">
        <v>1726.2828</v>
      </c>
      <c r="H137" s="13" t="n">
        <v>1849.8</v>
      </c>
      <c r="I137" s="13" t="n">
        <f aca="false">G137-H137</f>
        <v>-123.5172</v>
      </c>
      <c r="J137" s="13" t="n">
        <v>89.14681818182</v>
      </c>
      <c r="K137" s="13" t="n">
        <v>74.6753473605652</v>
      </c>
      <c r="L137" s="13" t="n">
        <f aca="false">B137*54.2221/B$137</f>
        <v>54.2221</v>
      </c>
      <c r="M137" s="13" t="n">
        <f aca="false">C137*100/C$137</f>
        <v>100</v>
      </c>
      <c r="N137" s="3" t="n">
        <f aca="false">L137/M137</f>
        <v>0.542221</v>
      </c>
      <c r="O137" s="13" t="n">
        <v>2123.50819933227</v>
      </c>
      <c r="P137" s="13" t="n">
        <v>736.470751931396</v>
      </c>
      <c r="Q137" s="13" t="n">
        <v>1298.88053539816</v>
      </c>
      <c r="R137" s="13" t="n">
        <v>724.712249163876</v>
      </c>
      <c r="S137" s="13" t="n">
        <f aca="false">SUM(O213:O215)</f>
        <v>0</v>
      </c>
      <c r="T137" s="13" t="n">
        <f aca="false">SUM(P213:P215)</f>
        <v>0</v>
      </c>
      <c r="U137" s="13" t="n">
        <f aca="false">SUM(Q213:Q215)</f>
        <v>0</v>
      </c>
      <c r="V137" s="13" t="n">
        <f aca="false">SUM(R213:R215)</f>
        <v>0</v>
      </c>
      <c r="XFD137" s="1"/>
    </row>
    <row r="138" customFormat="false" ht="15" hidden="false" customHeight="false" outlineLevel="0" collapsed="false">
      <c r="A138" s="5" t="n">
        <v>40544</v>
      </c>
      <c r="B138" s="6" t="n">
        <v>86.6795835361788</v>
      </c>
      <c r="C138" s="9" t="n">
        <v>220.223</v>
      </c>
      <c r="D138" s="1" t="n">
        <v>1862.16</v>
      </c>
      <c r="E138" s="1" t="n">
        <v>2353.23</v>
      </c>
      <c r="F138" s="1" t="n">
        <v>491.07</v>
      </c>
      <c r="G138" s="1" t="n">
        <v>1621.544</v>
      </c>
      <c r="H138" s="1" t="n">
        <v>1575.8</v>
      </c>
      <c r="I138" s="3" t="n">
        <f aca="false">G138-H138</f>
        <v>45.7440000000001</v>
      </c>
      <c r="J138" s="1" t="n">
        <v>89.4085</v>
      </c>
      <c r="K138" s="1" t="n">
        <v>75.1825331253973</v>
      </c>
      <c r="L138" s="3" t="n">
        <f aca="false">B138*54.2221/B$137</f>
        <v>54.5903698270758</v>
      </c>
      <c r="M138" s="3" t="n">
        <f aca="false">C138*100/C$137</f>
        <v>100.476323005397</v>
      </c>
      <c r="N138" s="3" t="n">
        <f aca="false">L138/M138</f>
        <v>0.54331576031244</v>
      </c>
      <c r="O138" s="1" t="n">
        <v>2353.22676872213</v>
      </c>
      <c r="P138" s="1" t="n">
        <v>937.063766992939</v>
      </c>
      <c r="Q138" s="1" t="n">
        <v>1202.63967226247</v>
      </c>
      <c r="R138" s="1" t="n">
        <v>827.24573115193</v>
      </c>
    </row>
    <row r="139" customFormat="false" ht="15" hidden="false" customHeight="false" outlineLevel="0" collapsed="false">
      <c r="A139" s="5" t="n">
        <v>40575</v>
      </c>
      <c r="B139" s="6" t="n">
        <v>87.1606213395727</v>
      </c>
      <c r="C139" s="9" t="n">
        <v>221.309</v>
      </c>
      <c r="D139" s="1" t="n">
        <v>2012.2</v>
      </c>
      <c r="E139" s="1" t="n">
        <v>2139.86</v>
      </c>
      <c r="F139" s="1" t="n">
        <v>127.66</v>
      </c>
      <c r="G139" s="1" t="n">
        <v>1690.47711</v>
      </c>
      <c r="H139" s="1" t="n">
        <v>1525.5</v>
      </c>
      <c r="I139" s="3" t="n">
        <f aca="false">G139-H139</f>
        <v>164.97711</v>
      </c>
      <c r="J139" s="1" t="n">
        <v>89.53263157895</v>
      </c>
      <c r="K139" s="1" t="n">
        <v>75.5997667934979</v>
      </c>
      <c r="L139" s="3" t="n">
        <f aca="false">B139*54.2221/B$137</f>
        <v>54.8933250388659</v>
      </c>
      <c r="M139" s="3" t="n">
        <f aca="false">C139*100/C$137</f>
        <v>100.971808430552</v>
      </c>
      <c r="N139" s="3" t="n">
        <f aca="false">L139/M139</f>
        <v>0.543650013722604</v>
      </c>
      <c r="O139" s="1" t="n">
        <v>2139.85846163437</v>
      </c>
      <c r="P139" s="1" t="n">
        <v>899.20781557</v>
      </c>
      <c r="Q139" s="1" t="n">
        <v>1107.430058502</v>
      </c>
      <c r="R139" s="1" t="n">
        <v>594.4359663</v>
      </c>
    </row>
    <row r="140" customFormat="false" ht="15" hidden="false" customHeight="false" outlineLevel="0" collapsed="false">
      <c r="A140" s="5" t="n">
        <v>40603</v>
      </c>
      <c r="B140" s="6" t="n">
        <v>87.454201232613</v>
      </c>
      <c r="C140" s="9" t="n">
        <v>223.467</v>
      </c>
      <c r="D140" s="1" t="n">
        <v>2664.92</v>
      </c>
      <c r="E140" s="1" t="n">
        <v>2497.65</v>
      </c>
      <c r="F140" s="1" t="n">
        <v>-167.27</v>
      </c>
      <c r="G140" s="1" t="n">
        <v>2032.00552</v>
      </c>
      <c r="H140" s="1" t="n">
        <v>1899.9</v>
      </c>
      <c r="I140" s="3" t="n">
        <f aca="false">G140-H140</f>
        <v>132.10552</v>
      </c>
      <c r="J140" s="1" t="n">
        <v>102.91608695652</v>
      </c>
      <c r="K140" s="1" t="n">
        <v>75.8544066883036</v>
      </c>
      <c r="L140" s="3" t="n">
        <f aca="false">B140*54.2221/B$137</f>
        <v>55.0782201927307</v>
      </c>
      <c r="M140" s="3" t="n">
        <f aca="false">C140*100/C$137</f>
        <v>101.956391807609</v>
      </c>
      <c r="N140" s="3" t="n">
        <f aca="false">L140/M140</f>
        <v>0.540213509091836</v>
      </c>
      <c r="O140" s="1" t="n">
        <v>2497.65672663384</v>
      </c>
      <c r="P140" s="1" t="n">
        <v>1080.92712614</v>
      </c>
      <c r="Q140" s="1" t="n">
        <v>1318.25715946456</v>
      </c>
      <c r="R140" s="1" t="n">
        <v>791.86485717</v>
      </c>
      <c r="S140" s="3" t="n">
        <f aca="false">SUM(O216:O218)</f>
        <v>0</v>
      </c>
      <c r="T140" s="3" t="n">
        <f aca="false">SUM(P216:P218)</f>
        <v>0</v>
      </c>
      <c r="U140" s="3" t="n">
        <f aca="false">SUM(Q216:Q218)</f>
        <v>0</v>
      </c>
      <c r="V140" s="3" t="n">
        <f aca="false">SUM(R216:R218)</f>
        <v>0</v>
      </c>
    </row>
    <row r="141" customFormat="false" ht="15" hidden="false" customHeight="false" outlineLevel="0" collapsed="false">
      <c r="A141" s="5" t="n">
        <v>40634</v>
      </c>
      <c r="B141" s="6" t="n">
        <v>88.1713959367154</v>
      </c>
      <c r="C141" s="9" t="n">
        <v>224.906</v>
      </c>
      <c r="D141" s="1" t="n">
        <v>2413.15</v>
      </c>
      <c r="E141" s="1" t="n">
        <v>2906.63</v>
      </c>
      <c r="F141" s="1" t="n">
        <v>493.48</v>
      </c>
      <c r="G141" s="1" t="n">
        <v>1831.30408</v>
      </c>
      <c r="H141" s="1" t="n">
        <v>1869.6</v>
      </c>
      <c r="I141" s="3" t="n">
        <f aca="false">G141-H141</f>
        <v>-38.2959199999998</v>
      </c>
      <c r="J141" s="1" t="n">
        <v>109.9595</v>
      </c>
      <c r="K141" s="1" t="n">
        <v>76.4764737587578</v>
      </c>
      <c r="L141" s="3" t="n">
        <f aca="false">B141*54.2221/B$137</f>
        <v>55.5299058439271</v>
      </c>
      <c r="M141" s="3" t="n">
        <f aca="false">C141*100/C$137</f>
        <v>102.612932808344</v>
      </c>
      <c r="N141" s="3" t="n">
        <f aca="false">L141/M141</f>
        <v>0.541158938977444</v>
      </c>
      <c r="O141" s="1" t="n">
        <v>2906.63294404693</v>
      </c>
      <c r="P141" s="1" t="n">
        <v>1099.19785681</v>
      </c>
      <c r="Q141" s="1" t="n">
        <v>1689.81125989766</v>
      </c>
      <c r="R141" s="1" t="n">
        <v>1147.91596581</v>
      </c>
    </row>
    <row r="142" customFormat="false" ht="15" hidden="false" customHeight="false" outlineLevel="0" collapsed="false">
      <c r="A142" s="5" t="n">
        <v>40664</v>
      </c>
      <c r="B142" s="6" t="n">
        <v>88.476337081723</v>
      </c>
      <c r="C142" s="9" t="n">
        <v>225.964</v>
      </c>
      <c r="D142" s="1" t="n">
        <v>2571</v>
      </c>
      <c r="E142" s="1" t="n">
        <v>2370.78</v>
      </c>
      <c r="F142" s="1" t="n">
        <v>-200.22</v>
      </c>
      <c r="G142" s="1" t="n">
        <v>2009.48405</v>
      </c>
      <c r="H142" s="1" t="n">
        <v>1950.2</v>
      </c>
      <c r="I142" s="3" t="n">
        <f aca="false">G142-H142</f>
        <v>59.2840499999998</v>
      </c>
      <c r="J142" s="1" t="n">
        <v>101.28285714286</v>
      </c>
      <c r="K142" s="1" t="n">
        <v>76.74096796605</v>
      </c>
      <c r="L142" s="3" t="n">
        <f aca="false">B142*54.2221/B$137</f>
        <v>55.7219562576731</v>
      </c>
      <c r="M142" s="3" t="n">
        <f aca="false">C142*100/C$137</f>
        <v>103.095643286994</v>
      </c>
      <c r="N142" s="3" t="n">
        <f aca="false">L142/M142</f>
        <v>0.540487982625575</v>
      </c>
      <c r="O142" s="1" t="n">
        <v>2370.77322923632</v>
      </c>
      <c r="P142" s="1" t="n">
        <v>875.524524963859</v>
      </c>
      <c r="Q142" s="1" t="n">
        <v>1342.45573690014</v>
      </c>
      <c r="R142" s="1" t="n">
        <v>781.60363953</v>
      </c>
    </row>
    <row r="143" customFormat="false" ht="15" hidden="false" customHeight="false" outlineLevel="0" collapsed="false">
      <c r="A143" s="5" t="n">
        <v>40695</v>
      </c>
      <c r="B143" s="6" t="n">
        <v>88.5115259099625</v>
      </c>
      <c r="C143" s="9" t="n">
        <v>225.722</v>
      </c>
      <c r="D143" s="1" t="n">
        <v>2448.76</v>
      </c>
      <c r="E143" s="1" t="n">
        <v>2933.59</v>
      </c>
      <c r="F143" s="1" t="n">
        <v>484.83</v>
      </c>
      <c r="G143" s="1" t="n">
        <v>1863.18948</v>
      </c>
      <c r="H143" s="1" t="n">
        <v>1993</v>
      </c>
      <c r="I143" s="3" t="n">
        <f aca="false">G143-H143</f>
        <v>-129.81052</v>
      </c>
      <c r="J143" s="1" t="n">
        <v>96.25409090909</v>
      </c>
      <c r="K143" s="1" t="n">
        <v>76.7714894007043</v>
      </c>
      <c r="L143" s="3" t="n">
        <f aca="false">B143*54.2221/B$137</f>
        <v>55.7441180063688</v>
      </c>
      <c r="M143" s="3" t="n">
        <f aca="false">C143*100/C$137</f>
        <v>102.985231249344</v>
      </c>
      <c r="N143" s="3" t="n">
        <f aca="false">L143/M143</f>
        <v>0.541282641502287</v>
      </c>
      <c r="O143" s="1" t="n">
        <v>2933.5932842186</v>
      </c>
      <c r="P143" s="1" t="n">
        <v>1518.05364113133</v>
      </c>
      <c r="Q143" s="1" t="n">
        <v>1302.73047296167</v>
      </c>
      <c r="R143" s="1" t="n">
        <v>747.859533</v>
      </c>
      <c r="S143" s="3" t="n">
        <f aca="false">SUM(O219:O221)</f>
        <v>0</v>
      </c>
      <c r="T143" s="3" t="n">
        <f aca="false">SUM(P219:P221)</f>
        <v>0</v>
      </c>
      <c r="U143" s="3" t="n">
        <f aca="false">SUM(Q219:Q221)</f>
        <v>0</v>
      </c>
      <c r="V143" s="3" t="n">
        <f aca="false">SUM(R219:R221)</f>
        <v>0</v>
      </c>
    </row>
    <row r="144" customFormat="false" ht="15" hidden="false" customHeight="false" outlineLevel="0" collapsed="false">
      <c r="A144" s="5" t="n">
        <v>40725</v>
      </c>
      <c r="B144" s="6" t="n">
        <v>88.6671485410335</v>
      </c>
      <c r="C144" s="9" t="n">
        <v>225.922</v>
      </c>
      <c r="D144" s="1" t="n">
        <v>2456.96</v>
      </c>
      <c r="E144" s="1" t="n">
        <v>2528.68</v>
      </c>
      <c r="F144" s="1" t="n">
        <v>71.72</v>
      </c>
      <c r="G144" s="1" t="n">
        <v>1974.0108</v>
      </c>
      <c r="H144" s="1" t="n">
        <v>1822.6</v>
      </c>
      <c r="I144" s="3" t="n">
        <f aca="false">G144-H144</f>
        <v>151.4108</v>
      </c>
      <c r="J144" s="1" t="n">
        <v>97.3065</v>
      </c>
      <c r="K144" s="1" t="n">
        <v>76.9064704785803</v>
      </c>
      <c r="L144" s="3" t="n">
        <f aca="false">B144*54.2221/B$137</f>
        <v>55.8421283640222</v>
      </c>
      <c r="M144" s="3" t="n">
        <f aca="false">C144*100/C$137</f>
        <v>103.076480867236</v>
      </c>
      <c r="N144" s="3" t="n">
        <f aca="false">L144/M144</f>
        <v>0.541754315768187</v>
      </c>
      <c r="O144" s="1" t="n">
        <v>2528.67897235166</v>
      </c>
      <c r="P144" s="1" t="n">
        <v>1045.95445693156</v>
      </c>
      <c r="Q144" s="1" t="n">
        <v>1330.1015587059</v>
      </c>
      <c r="R144" s="1" t="n">
        <v>779.1154586</v>
      </c>
    </row>
    <row r="145" customFormat="false" ht="15" hidden="false" customHeight="false" outlineLevel="0" collapsed="false">
      <c r="A145" s="5" t="n">
        <v>40756</v>
      </c>
      <c r="B145" s="6" t="n">
        <v>89.0980489953974</v>
      </c>
      <c r="C145" s="9" t="n">
        <v>226.545</v>
      </c>
      <c r="D145" s="1" t="n">
        <v>2601.36</v>
      </c>
      <c r="E145" s="1" t="n">
        <v>2578.94</v>
      </c>
      <c r="F145" s="1" t="n">
        <v>-22.42</v>
      </c>
      <c r="G145" s="1" t="n">
        <v>1772.25879</v>
      </c>
      <c r="H145" s="1" t="n">
        <v>2025.3</v>
      </c>
      <c r="I145" s="3" t="n">
        <f aca="false">G145-H145</f>
        <v>-253.04121</v>
      </c>
      <c r="J145" s="1" t="n">
        <v>86.32130434783</v>
      </c>
      <c r="K145" s="1" t="n">
        <v>77.280216940692</v>
      </c>
      <c r="L145" s="3" t="n">
        <f aca="false">B145*54.2221/B$137</f>
        <v>56.1135073232043</v>
      </c>
      <c r="M145" s="3" t="n">
        <f aca="false">C145*100/C$137</f>
        <v>103.360723426971</v>
      </c>
      <c r="N145" s="3" t="n">
        <f aca="false">L145/M145</f>
        <v>0.542890040459625</v>
      </c>
      <c r="O145" s="1" t="n">
        <v>2578.93659594025</v>
      </c>
      <c r="P145" s="1" t="n">
        <v>1138.35814707767</v>
      </c>
      <c r="Q145" s="1" t="n">
        <v>1242.0098628261</v>
      </c>
      <c r="R145" s="1" t="n">
        <v>715.61217191</v>
      </c>
    </row>
    <row r="146" customFormat="false" ht="15" hidden="false" customHeight="false" outlineLevel="0" collapsed="false">
      <c r="A146" s="5" t="n">
        <v>40787</v>
      </c>
      <c r="B146" s="6" t="n">
        <v>89.8026911941672</v>
      </c>
      <c r="C146" s="9" t="n">
        <v>226.889</v>
      </c>
      <c r="D146" s="1" t="n">
        <v>2539.17</v>
      </c>
      <c r="E146" s="1" t="n">
        <v>2784.12</v>
      </c>
      <c r="F146" s="1" t="n">
        <v>244.95</v>
      </c>
      <c r="G146" s="1" t="n">
        <v>1856.0822</v>
      </c>
      <c r="H146" s="1" t="n">
        <v>2091.4</v>
      </c>
      <c r="I146" s="3" t="n">
        <f aca="false">G146-H146</f>
        <v>-235.3178</v>
      </c>
      <c r="J146" s="1" t="n">
        <v>85.57714285714</v>
      </c>
      <c r="K146" s="1" t="n">
        <v>77.8913964513602</v>
      </c>
      <c r="L146" s="3" t="n">
        <f aca="false">B146*54.2221/B$137</f>
        <v>56.5572874690855</v>
      </c>
      <c r="M146" s="3" t="n">
        <f aca="false">C146*100/C$137</f>
        <v>103.517672769745</v>
      </c>
      <c r="N146" s="3" t="n">
        <f aca="false">L146/M146</f>
        <v>0.546353931225696</v>
      </c>
      <c r="O146" s="1" t="n">
        <v>2784.11523153635</v>
      </c>
      <c r="P146" s="1" t="n">
        <v>1117.17484912587</v>
      </c>
      <c r="Q146" s="1" t="n">
        <v>1556.0550970276</v>
      </c>
      <c r="R146" s="1" t="n">
        <v>880.437338</v>
      </c>
      <c r="S146" s="3" t="n">
        <f aca="false">SUM(O222:O224)</f>
        <v>0</v>
      </c>
      <c r="T146" s="3" t="n">
        <f aca="false">SUM(P222:P224)</f>
        <v>0</v>
      </c>
      <c r="U146" s="3" t="n">
        <f aca="false">SUM(Q222:Q224)</f>
        <v>0</v>
      </c>
      <c r="V146" s="3" t="n">
        <f aca="false">SUM(R222:R224)</f>
        <v>0</v>
      </c>
    </row>
    <row r="147" customFormat="false" ht="15" hidden="false" customHeight="false" outlineLevel="0" collapsed="false">
      <c r="A147" s="5" t="n">
        <v>40817</v>
      </c>
      <c r="B147" s="6" t="n">
        <v>90.1189395929231</v>
      </c>
      <c r="C147" s="9" t="n">
        <v>226.421</v>
      </c>
      <c r="D147" s="1" t="n">
        <v>2772.17</v>
      </c>
      <c r="E147" s="1" t="n">
        <v>2505.72</v>
      </c>
      <c r="F147" s="1" t="n">
        <v>-266.45</v>
      </c>
      <c r="G147" s="1" t="n">
        <v>1827.86049</v>
      </c>
      <c r="H147" s="1" t="n">
        <v>2054.9</v>
      </c>
      <c r="I147" s="3" t="n">
        <f aca="false">G147-H147</f>
        <v>-227.03951</v>
      </c>
      <c r="J147" s="1" t="n">
        <v>86.40619047619</v>
      </c>
      <c r="K147" s="1" t="n">
        <v>78.1656981351633</v>
      </c>
      <c r="L147" s="3" t="n">
        <f aca="false">B147*54.2221/B$137</f>
        <v>56.7564591349034</v>
      </c>
      <c r="M147" s="3" t="n">
        <f aca="false">C147*100/C$137</f>
        <v>103.304148663877</v>
      </c>
      <c r="N147" s="3" t="n">
        <f aca="false">L147/M147</f>
        <v>0.549411227612677</v>
      </c>
      <c r="O147" s="1" t="n">
        <v>2505.72075736084</v>
      </c>
      <c r="P147" s="1" t="n">
        <v>1042.37524600153</v>
      </c>
      <c r="Q147" s="1" t="n">
        <v>1323.14505409197</v>
      </c>
      <c r="R147" s="1" t="n">
        <v>788.87730704</v>
      </c>
    </row>
    <row r="148" customFormat="false" ht="15" hidden="false" customHeight="false" outlineLevel="0" collapsed="false">
      <c r="A148" s="5" t="n">
        <v>40848</v>
      </c>
      <c r="B148" s="6" t="n">
        <v>90.3923317149425</v>
      </c>
      <c r="C148" s="9" t="n">
        <v>226.23</v>
      </c>
      <c r="D148" s="1" t="n">
        <v>2917.38</v>
      </c>
      <c r="E148" s="1" t="n">
        <v>2346.17</v>
      </c>
      <c r="F148" s="1" t="n">
        <v>-571.21</v>
      </c>
      <c r="G148" s="1" t="n">
        <v>1868.97322</v>
      </c>
      <c r="H148" s="1" t="n">
        <v>2166.1</v>
      </c>
      <c r="I148" s="3" t="n">
        <f aca="false">G148-H148</f>
        <v>-297.12678</v>
      </c>
      <c r="J148" s="1" t="n">
        <v>97.12333333333</v>
      </c>
      <c r="K148" s="1" t="n">
        <v>78.4028279347241</v>
      </c>
      <c r="L148" s="3" t="n">
        <f aca="false">B148*54.2221/B$137</f>
        <v>56.9286401311656</v>
      </c>
      <c r="M148" s="3" t="n">
        <f aca="false">C148*100/C$137</f>
        <v>103.21700527879</v>
      </c>
      <c r="N148" s="3" t="n">
        <f aca="false">L148/M148</f>
        <v>0.551543226597212</v>
      </c>
      <c r="O148" s="1" t="n">
        <v>2346.16578879946</v>
      </c>
      <c r="P148" s="1" t="n">
        <v>722.48646282</v>
      </c>
      <c r="Q148" s="1" t="n">
        <v>1409.48468346552</v>
      </c>
      <c r="R148" s="1" t="n">
        <v>808.2284055</v>
      </c>
    </row>
    <row r="149" customFormat="false" ht="15" hidden="false" customHeight="false" outlineLevel="0" collapsed="false">
      <c r="A149" s="5" t="n">
        <v>40878</v>
      </c>
      <c r="B149" s="6" t="n">
        <v>90.7520369037975</v>
      </c>
      <c r="C149" s="9" t="n">
        <v>225.672</v>
      </c>
      <c r="D149" s="1" t="n">
        <v>4031.02</v>
      </c>
      <c r="E149" s="1" t="n">
        <v>3244.42</v>
      </c>
      <c r="F149" s="1" t="n">
        <v>-786.6</v>
      </c>
      <c r="G149" s="1" t="n">
        <v>1975.16347</v>
      </c>
      <c r="H149" s="1" t="n">
        <v>2119.3</v>
      </c>
      <c r="I149" s="3" t="n">
        <f aca="false">G149-H149</f>
        <v>-144.13653</v>
      </c>
      <c r="J149" s="1" t="n">
        <v>98.56380952381</v>
      </c>
      <c r="K149" s="1" t="n">
        <v>78.714822364937</v>
      </c>
      <c r="L149" s="3" t="n">
        <f aca="false">B149*54.2221/B$137</f>
        <v>57.1551806668629</v>
      </c>
      <c r="M149" s="3" t="n">
        <f aca="false">C149*100/C$137</f>
        <v>102.962418844871</v>
      </c>
      <c r="N149" s="3" t="n">
        <f aca="false">L149/M149</f>
        <v>0.555107206183414</v>
      </c>
      <c r="O149" s="1" t="n">
        <v>3244.41425611417</v>
      </c>
      <c r="P149" s="1" t="n">
        <v>1458.27784722565</v>
      </c>
      <c r="Q149" s="1" t="n">
        <v>1664.78640837649</v>
      </c>
      <c r="R149" s="1" t="n">
        <v>901.7821</v>
      </c>
      <c r="S149" s="3" t="n">
        <f aca="false">SUM(O225:O227)</f>
        <v>0</v>
      </c>
      <c r="T149" s="3" t="n">
        <f aca="false">SUM(P225:P227)</f>
        <v>0</v>
      </c>
      <c r="U149" s="3" t="n">
        <f aca="false">SUM(Q225:Q227)</f>
        <v>0</v>
      </c>
      <c r="V149" s="3" t="n">
        <f aca="false">SUM(R225:R227)</f>
        <v>0</v>
      </c>
    </row>
    <row r="150" customFormat="false" ht="15" hidden="false" customHeight="false" outlineLevel="0" collapsed="false">
      <c r="A150" s="5" t="n">
        <v>40909</v>
      </c>
      <c r="B150" s="6" t="n">
        <v>91.2667390855198</v>
      </c>
      <c r="C150" s="9" t="n">
        <v>226.665</v>
      </c>
      <c r="D150" s="1" t="n">
        <v>2554.501</v>
      </c>
      <c r="E150" s="1" t="n">
        <v>2892.191</v>
      </c>
      <c r="F150" s="1" t="n">
        <v>337.69</v>
      </c>
      <c r="G150" s="1" t="n">
        <v>2121.57534</v>
      </c>
      <c r="H150" s="1" t="n">
        <v>2022.4</v>
      </c>
      <c r="I150" s="3" t="n">
        <f aca="false">G150-H150</f>
        <v>99.1753399999998</v>
      </c>
      <c r="J150" s="1" t="n">
        <v>100.287</v>
      </c>
      <c r="K150" s="1" t="n">
        <v>79.1612552185386</v>
      </c>
      <c r="L150" s="3" t="n">
        <f aca="false">B150*54.2221/B$137</f>
        <v>57.4793375363903</v>
      </c>
      <c r="M150" s="3" t="n">
        <f aca="false">C150*100/C$137</f>
        <v>103.415473197706</v>
      </c>
      <c r="N150" s="3" t="n">
        <f aca="false">L150/M150</f>
        <v>0.55580983927331</v>
      </c>
    </row>
    <row r="151" customFormat="false" ht="15" hidden="false" customHeight="false" outlineLevel="0" collapsed="false">
      <c r="A151" s="5" t="n">
        <v>40940</v>
      </c>
      <c r="B151" s="6" t="n">
        <v>91.9763261289862</v>
      </c>
      <c r="C151" s="9" t="n">
        <v>227.663</v>
      </c>
      <c r="D151" s="1" t="n">
        <v>2591.098</v>
      </c>
      <c r="E151" s="1" t="n">
        <v>3018.588</v>
      </c>
      <c r="F151" s="1" t="n">
        <v>427.49</v>
      </c>
      <c r="G151" s="1" t="n">
        <v>2025.45495</v>
      </c>
      <c r="H151" s="1" t="n">
        <v>1801.1</v>
      </c>
      <c r="I151" s="3" t="n">
        <f aca="false">G151-H151</f>
        <v>224.35495</v>
      </c>
      <c r="J151" s="1" t="n">
        <v>102.214</v>
      </c>
      <c r="K151" s="1" t="n">
        <v>79.7767236970933</v>
      </c>
      <c r="L151" s="3" t="n">
        <f aca="false">B151*54.2221/B$137</f>
        <v>57.9262319208236</v>
      </c>
      <c r="M151" s="3" t="n">
        <f aca="false">C151*100/C$137</f>
        <v>103.870808790988</v>
      </c>
      <c r="N151" s="3" t="n">
        <f aca="false">L151/M151</f>
        <v>0.557675756981775</v>
      </c>
    </row>
    <row r="152" customFormat="false" ht="15" hidden="false" customHeight="false" outlineLevel="0" collapsed="false">
      <c r="A152" s="5" t="n">
        <v>40969</v>
      </c>
      <c r="B152" s="6" t="n">
        <v>92.8049572793552</v>
      </c>
      <c r="C152" s="9" t="n">
        <v>229.392</v>
      </c>
      <c r="D152" s="1" t="n">
        <v>2980.813</v>
      </c>
      <c r="E152" s="1" t="n">
        <v>3262.913</v>
      </c>
      <c r="F152" s="1" t="n">
        <v>282.1</v>
      </c>
      <c r="G152" s="1" t="n">
        <v>2058.38638</v>
      </c>
      <c r="H152" s="1" t="n">
        <v>1951.6</v>
      </c>
      <c r="I152" s="3" t="n">
        <f aca="false">G152-H152</f>
        <v>106.78638</v>
      </c>
      <c r="J152" s="1" t="n">
        <v>106.15045454546</v>
      </c>
      <c r="K152" s="1" t="n">
        <v>80.4954464501318</v>
      </c>
      <c r="L152" s="3" t="n">
        <f aca="false">B152*54.2221/B$137</f>
        <v>58.4480996906427</v>
      </c>
      <c r="M152" s="3" t="n">
        <f aca="false">C152*100/C$137</f>
        <v>104.659661737666</v>
      </c>
      <c r="N152" s="3" t="n">
        <f aca="false">L152/M152</f>
        <v>0.558458710072513</v>
      </c>
      <c r="S152" s="3" t="n">
        <f aca="false">SUM(O228:O230)</f>
        <v>0</v>
      </c>
      <c r="T152" s="3" t="n">
        <f aca="false">SUM(P228:P230)</f>
        <v>0</v>
      </c>
      <c r="U152" s="3" t="n">
        <f aca="false">SUM(Q228:Q230)</f>
        <v>0</v>
      </c>
      <c r="V152" s="3" t="n">
        <f aca="false">SUM(R228:R230)</f>
        <v>0</v>
      </c>
    </row>
    <row r="153" customFormat="false" ht="15" hidden="false" customHeight="false" outlineLevel="0" collapsed="false">
      <c r="A153" s="5" t="n">
        <v>41000</v>
      </c>
      <c r="B153" s="6" t="n">
        <v>92.9515853950999</v>
      </c>
      <c r="C153" s="9" t="n">
        <v>230.085</v>
      </c>
      <c r="D153" s="1" t="n">
        <v>2960.904</v>
      </c>
      <c r="E153" s="1" t="n">
        <v>3773.124</v>
      </c>
      <c r="F153" s="1" t="n">
        <v>812.22</v>
      </c>
      <c r="G153" s="1" t="n">
        <v>2069.2395</v>
      </c>
      <c r="H153" s="1" t="n">
        <v>1847.4</v>
      </c>
      <c r="I153" s="3" t="n">
        <f aca="false">G153-H153</f>
        <v>221.8395</v>
      </c>
      <c r="J153" s="1" t="n">
        <v>103.283</v>
      </c>
      <c r="K153" s="1" t="n">
        <v>80.6226260317514</v>
      </c>
      <c r="L153" s="3" t="n">
        <f aca="false">B153*54.2221/B$137</f>
        <v>58.5404453473591</v>
      </c>
      <c r="M153" s="3" t="n">
        <f aca="false">C153*100/C$137</f>
        <v>104.975841663663</v>
      </c>
      <c r="N153" s="3" t="n">
        <f aca="false">L153/M153</f>
        <v>0.557656356163541</v>
      </c>
    </row>
    <row r="154" customFormat="false" ht="15" hidden="false" customHeight="false" outlineLevel="0" collapsed="false">
      <c r="A154" s="5" t="n">
        <v>41030</v>
      </c>
      <c r="B154" s="6" t="n">
        <v>92.7712070688993</v>
      </c>
      <c r="C154" s="9" t="n">
        <v>229.815</v>
      </c>
      <c r="D154" s="1" t="n">
        <v>2917.96</v>
      </c>
      <c r="E154" s="1" t="n">
        <v>3174.93</v>
      </c>
      <c r="F154" s="1" t="n">
        <v>256.97</v>
      </c>
      <c r="G154" s="1" t="n">
        <v>2142.41876</v>
      </c>
      <c r="H154" s="1" t="n">
        <v>2198</v>
      </c>
      <c r="I154" s="3" t="n">
        <f aca="false">G154-H154</f>
        <v>-55.5812400000004</v>
      </c>
      <c r="J154" s="1" t="n">
        <v>94.68181818182</v>
      </c>
      <c r="K154" s="1" t="n">
        <v>80.4661728171484</v>
      </c>
      <c r="L154" s="3" t="n">
        <f aca="false">B154*54.2221/B$137</f>
        <v>58.4268439762592</v>
      </c>
      <c r="M154" s="3" t="n">
        <f aca="false">C154*100/C$137</f>
        <v>104.852654679509</v>
      </c>
      <c r="N154" s="3" t="n">
        <f aca="false">L154/M154</f>
        <v>0.557228085019364</v>
      </c>
    </row>
    <row r="155" customFormat="false" ht="15" hidden="false" customHeight="false" outlineLevel="0" collapsed="false">
      <c r="A155" s="5" t="n">
        <v>41061</v>
      </c>
      <c r="B155" s="6" t="n">
        <v>92.9336446706311</v>
      </c>
      <c r="C155" s="9" t="n">
        <v>229.478</v>
      </c>
      <c r="D155" s="1" t="n">
        <v>3070.441</v>
      </c>
      <c r="E155" s="1" t="n">
        <v>2911.351</v>
      </c>
      <c r="F155" s="1" t="n">
        <v>-159.09</v>
      </c>
      <c r="G155" s="1" t="n">
        <v>1839.24567</v>
      </c>
      <c r="H155" s="1" t="n">
        <v>2043.7</v>
      </c>
      <c r="I155" s="3" t="n">
        <f aca="false">G155-H155</f>
        <v>-204.45433</v>
      </c>
      <c r="J155" s="1" t="n">
        <v>82.35952380952</v>
      </c>
      <c r="K155" s="1" t="n">
        <v>80.6070649381623</v>
      </c>
      <c r="L155" s="3" t="n">
        <f aca="false">B155*54.2221/B$137</f>
        <v>58.5291463684789</v>
      </c>
      <c r="M155" s="3" t="n">
        <f aca="false">C155*100/C$137</f>
        <v>104.69889907336</v>
      </c>
      <c r="N155" s="3" t="n">
        <f aca="false">L155/M155</f>
        <v>0.559023513012003</v>
      </c>
      <c r="S155" s="3" t="n">
        <f aca="false">SUM(O231:O233)</f>
        <v>0</v>
      </c>
      <c r="T155" s="3" t="n">
        <f aca="false">SUM(P231:P233)</f>
        <v>0</v>
      </c>
      <c r="U155" s="3" t="n">
        <f aca="false">SUM(Q231:Q233)</f>
        <v>0</v>
      </c>
      <c r="V155" s="3" t="n">
        <f aca="false">SUM(R231:R233)</f>
        <v>0</v>
      </c>
    </row>
    <row r="156" customFormat="false" ht="15" hidden="false" customHeight="false" outlineLevel="0" collapsed="false">
      <c r="A156" s="5" t="n">
        <v>41091</v>
      </c>
      <c r="B156" s="6" t="n">
        <v>93.1764126242344</v>
      </c>
      <c r="C156" s="9" t="n">
        <v>229.104</v>
      </c>
      <c r="D156" s="1" t="n">
        <v>2849.53</v>
      </c>
      <c r="E156" s="1" t="n">
        <v>3133.79</v>
      </c>
      <c r="F156" s="1" t="n">
        <v>284.26</v>
      </c>
      <c r="G156" s="1" t="n">
        <v>1872.9003</v>
      </c>
      <c r="H156" s="1" t="n">
        <v>2071.5</v>
      </c>
      <c r="I156" s="3" t="n">
        <f aca="false">G156-H156</f>
        <v>-198.5997</v>
      </c>
      <c r="J156" s="1" t="n">
        <v>87.90142857143</v>
      </c>
      <c r="K156" s="1" t="n">
        <v>80.8176325132354</v>
      </c>
      <c r="L156" s="3" t="n">
        <f aca="false">B156*54.2221/B$137</f>
        <v>58.6820404160586</v>
      </c>
      <c r="M156" s="3" t="n">
        <f aca="false">C156*100/C$137</f>
        <v>104.528262287902</v>
      </c>
      <c r="N156" s="3" t="n">
        <f aca="false">L156/M156</f>
        <v>0.56139879427471</v>
      </c>
    </row>
    <row r="157" customFormat="false" ht="15" hidden="false" customHeight="false" outlineLevel="0" collapsed="false">
      <c r="A157" s="5" t="n">
        <v>41122</v>
      </c>
      <c r="B157" s="6" t="n">
        <v>93.4453823885378</v>
      </c>
      <c r="C157" s="9" t="n">
        <v>230.379</v>
      </c>
      <c r="D157" s="1" t="n">
        <v>3268.933</v>
      </c>
      <c r="E157" s="1" t="n">
        <v>2915.483</v>
      </c>
      <c r="F157" s="1" t="n">
        <v>-353.45</v>
      </c>
      <c r="G157" s="1" t="n">
        <v>1968.54481</v>
      </c>
      <c r="H157" s="1" t="n">
        <v>2230.1</v>
      </c>
      <c r="I157" s="3" t="n">
        <f aca="false">G157-H157</f>
        <v>-261.55519</v>
      </c>
      <c r="J157" s="1" t="n">
        <v>94.11043478261</v>
      </c>
      <c r="K157" s="1" t="n">
        <v>81.0509265299981</v>
      </c>
      <c r="L157" s="3" t="n">
        <f aca="false">B157*54.2221/B$137</f>
        <v>58.8514362334658</v>
      </c>
      <c r="M157" s="3" t="n">
        <f aca="false">C157*100/C$137</f>
        <v>105.109978601965</v>
      </c>
      <c r="N157" s="3" t="n">
        <f aca="false">L157/M157</f>
        <v>0.559903417508315</v>
      </c>
    </row>
    <row r="158" customFormat="false" ht="15" hidden="false" customHeight="false" outlineLevel="0" collapsed="false">
      <c r="A158" s="5" t="n">
        <v>41153</v>
      </c>
      <c r="B158" s="6" t="n">
        <v>94.4937590764561</v>
      </c>
      <c r="C158" s="9" t="n">
        <v>231.407</v>
      </c>
      <c r="D158" s="1" t="n">
        <v>3122.614</v>
      </c>
      <c r="E158" s="1" t="n">
        <v>3107.974</v>
      </c>
      <c r="F158" s="1" t="n">
        <v>-14.64</v>
      </c>
      <c r="G158" s="1" t="n">
        <v>2065.75572</v>
      </c>
      <c r="H158" s="1" t="n">
        <v>2028.1</v>
      </c>
      <c r="I158" s="3" t="n">
        <f aca="false">G158-H158</f>
        <v>37.6557200000002</v>
      </c>
      <c r="J158" s="1" t="n">
        <v>94.50789473684</v>
      </c>
      <c r="K158" s="1" t="n">
        <v>81.9602481009124</v>
      </c>
      <c r="L158" s="3" t="n">
        <f aca="false">B158*54.2221/B$137</f>
        <v>59.5116986479438</v>
      </c>
      <c r="M158" s="3" t="n">
        <f aca="false">C158*100/C$137</f>
        <v>105.579001637931</v>
      </c>
      <c r="N158" s="3" t="n">
        <f aca="false">L158/M158</f>
        <v>0.563669837038537</v>
      </c>
      <c r="S158" s="3" t="n">
        <f aca="false">SUM(O234:O236)</f>
        <v>0</v>
      </c>
      <c r="T158" s="3" t="n">
        <f aca="false">SUM(P234:P236)</f>
        <v>0</v>
      </c>
      <c r="U158" s="3" t="n">
        <f aca="false">SUM(Q234:Q236)</f>
        <v>0</v>
      </c>
      <c r="V158" s="3" t="n">
        <f aca="false">SUM(R234:R236)</f>
        <v>0</v>
      </c>
    </row>
    <row r="159" customFormat="false" ht="15" hidden="false" customHeight="false" outlineLevel="0" collapsed="false">
      <c r="A159" s="5" t="n">
        <v>41183</v>
      </c>
      <c r="B159" s="6" t="n">
        <v>94.5750309307929</v>
      </c>
      <c r="C159" s="9" t="n">
        <v>231.317</v>
      </c>
      <c r="D159" s="1" t="n">
        <v>3431.733</v>
      </c>
      <c r="E159" s="1" t="n">
        <v>3167.883</v>
      </c>
      <c r="F159" s="1" t="n">
        <v>-263.85</v>
      </c>
      <c r="G159" s="1" t="n">
        <v>1788.17112</v>
      </c>
      <c r="H159" s="1" t="n">
        <v>1881.8</v>
      </c>
      <c r="I159" s="3" t="n">
        <f aca="false">G159-H159</f>
        <v>-93.6288799999998</v>
      </c>
      <c r="J159" s="1" t="n">
        <v>89.51739130435</v>
      </c>
      <c r="K159" s="1" t="n">
        <v>82.0307401779571</v>
      </c>
      <c r="L159" s="3" t="n">
        <f aca="false">B159*54.2221/B$137</f>
        <v>59.5628832568653</v>
      </c>
      <c r="M159" s="3" t="n">
        <f aca="false">C159*100/C$137</f>
        <v>105.537939309879</v>
      </c>
      <c r="N159" s="3" t="n">
        <f aca="false">L159/M159</f>
        <v>0.564374135465896</v>
      </c>
    </row>
    <row r="160" customFormat="false" ht="15" hidden="false" customHeight="false" outlineLevel="0" collapsed="false">
      <c r="A160" s="5" t="n">
        <v>41214</v>
      </c>
      <c r="B160" s="6" t="n">
        <v>94.706817778578</v>
      </c>
      <c r="C160" s="9" t="n">
        <v>230.221</v>
      </c>
      <c r="D160" s="1" t="n">
        <v>3421.142</v>
      </c>
      <c r="E160" s="1" t="n">
        <v>2784.712</v>
      </c>
      <c r="F160" s="1" t="n">
        <v>-636.43</v>
      </c>
      <c r="G160" s="1" t="n">
        <v>1761.88864</v>
      </c>
      <c r="H160" s="1" t="n">
        <v>2127.6</v>
      </c>
      <c r="I160" s="3" t="n">
        <f aca="false">G160-H160</f>
        <v>-365.71136</v>
      </c>
      <c r="J160" s="1" t="n">
        <v>86.6780952381</v>
      </c>
      <c r="K160" s="1" t="n">
        <v>82.1450470152178</v>
      </c>
      <c r="L160" s="3" t="n">
        <f aca="false">B160*54.2221/B$137</f>
        <v>59.6458819569678</v>
      </c>
      <c r="M160" s="3" t="n">
        <f aca="false">C160*100/C$137</f>
        <v>105.03789140383</v>
      </c>
      <c r="N160" s="3" t="n">
        <f aca="false">L160/M160</f>
        <v>0.567851097920965</v>
      </c>
    </row>
    <row r="161" customFormat="false" ht="15" hidden="false" customHeight="false" outlineLevel="0" collapsed="false">
      <c r="A161" s="5" t="n">
        <v>41244</v>
      </c>
      <c r="B161" s="6" t="n">
        <v>94.5308696897452</v>
      </c>
      <c r="C161" s="9" t="n">
        <v>229.601</v>
      </c>
      <c r="D161" s="1" t="n">
        <v>4795.435</v>
      </c>
      <c r="E161" s="1" t="n">
        <v>2998.145</v>
      </c>
      <c r="F161" s="1" t="n">
        <v>-1797.29</v>
      </c>
      <c r="G161" s="1" t="n">
        <v>2051.18064</v>
      </c>
      <c r="H161" s="1" t="n">
        <v>1985.5</v>
      </c>
      <c r="I161" s="3" t="n">
        <f aca="false">G161-H161</f>
        <v>65.68064</v>
      </c>
      <c r="J161" s="1" t="n">
        <v>88.2155</v>
      </c>
      <c r="K161" s="1" t="n">
        <v>81.9924364179196</v>
      </c>
      <c r="L161" s="3" t="n">
        <f aca="false">B161*54.2221/B$137</f>
        <v>59.5350707272884</v>
      </c>
      <c r="M161" s="3" t="n">
        <f aca="false">C161*100/C$137</f>
        <v>104.755017588364</v>
      </c>
      <c r="N161" s="3" t="n">
        <f aca="false">L161/M161</f>
        <v>0.568326673966417</v>
      </c>
      <c r="S161" s="3" t="n">
        <f aca="false">SUM(O237:O239)</f>
        <v>0</v>
      </c>
      <c r="T161" s="3" t="n">
        <f aca="false">SUM(P237:P239)</f>
        <v>0</v>
      </c>
      <c r="U161" s="3" t="n">
        <f aca="false">SUM(Q237:Q239)</f>
        <v>0</v>
      </c>
      <c r="V161" s="3" t="n">
        <f aca="false">SUM(R237:R239)</f>
        <v>0</v>
      </c>
    </row>
    <row r="162" customFormat="false" ht="15" hidden="false" customHeight="false" outlineLevel="0" collapsed="false">
      <c r="A162" s="5" t="n">
        <v>41275</v>
      </c>
      <c r="B162" s="6" t="n">
        <v>95.0061925803642</v>
      </c>
      <c r="C162" s="9" t="n">
        <v>230.28</v>
      </c>
      <c r="D162" s="1" t="n">
        <v>2551.748</v>
      </c>
      <c r="E162" s="1" t="n">
        <v>3215.738</v>
      </c>
      <c r="F162" s="1" t="n">
        <v>663.99</v>
      </c>
      <c r="G162" s="1" t="n">
        <v>1928.95166</v>
      </c>
      <c r="H162" s="1" t="n">
        <v>2151.8</v>
      </c>
      <c r="I162" s="3" t="n">
        <f aca="false">G162-H162</f>
        <v>-222.84834</v>
      </c>
      <c r="J162" s="1" t="n">
        <v>94.74428571429</v>
      </c>
      <c r="K162" s="1" t="n">
        <v>82.4047131907343</v>
      </c>
      <c r="L162" s="3" t="n">
        <f aca="false">B162*54.2221/B$137</f>
        <v>59.8344267154875</v>
      </c>
      <c r="M162" s="3" t="n">
        <f aca="false">C162*100/C$137</f>
        <v>105.064810041108</v>
      </c>
      <c r="N162" s="3" t="n">
        <f aca="false">L162/M162</f>
        <v>0.569500165584238</v>
      </c>
    </row>
    <row r="163" customFormat="false" ht="15" hidden="false" customHeight="false" outlineLevel="0" collapsed="false">
      <c r="A163" s="5" t="n">
        <v>41306</v>
      </c>
      <c r="B163" s="6" t="n">
        <v>95.1816635783743</v>
      </c>
      <c r="C163" s="9" t="n">
        <v>232.166</v>
      </c>
      <c r="D163" s="1" t="n">
        <v>3236.619</v>
      </c>
      <c r="E163" s="1" t="n">
        <v>2744.089</v>
      </c>
      <c r="F163" s="1" t="n">
        <v>-492.53</v>
      </c>
      <c r="G163" s="1" t="n">
        <v>2061.90343</v>
      </c>
      <c r="H163" s="1" t="n">
        <v>2016.8</v>
      </c>
      <c r="I163" s="3" t="n">
        <f aca="false">G163-H163</f>
        <v>45.1034299999999</v>
      </c>
      <c r="J163" s="1" t="n">
        <v>95.29947368421</v>
      </c>
      <c r="K163" s="1" t="n">
        <v>82.5569099778235</v>
      </c>
      <c r="L163" s="3" t="n">
        <f aca="false">B163*54.2221/B$137</f>
        <v>59.944937475744</v>
      </c>
      <c r="M163" s="3" t="n">
        <f aca="false">C163*100/C$137</f>
        <v>105.925293937832</v>
      </c>
      <c r="N163" s="3" t="n">
        <f aca="false">L163/M163</f>
        <v>0.565917121843685</v>
      </c>
    </row>
    <row r="164" customFormat="false" ht="15" hidden="false" customHeight="false" outlineLevel="0" collapsed="false">
      <c r="A164" s="5" t="n">
        <v>41334</v>
      </c>
      <c r="B164" s="6" t="n">
        <v>95.5989252098167</v>
      </c>
      <c r="C164" s="9" t="n">
        <v>232.773</v>
      </c>
      <c r="D164" s="1" t="n">
        <v>3553.218</v>
      </c>
      <c r="E164" s="1" t="n">
        <v>3358.418</v>
      </c>
      <c r="F164" s="1" t="n">
        <v>-194.8</v>
      </c>
      <c r="G164" s="1" t="n">
        <v>2203.19094</v>
      </c>
      <c r="H164" s="1" t="n">
        <v>2103.1</v>
      </c>
      <c r="I164" s="3" t="n">
        <f aca="false">G164-H164</f>
        <v>100.09094</v>
      </c>
      <c r="J164" s="1" t="n">
        <v>92.9125</v>
      </c>
      <c r="K164" s="1" t="n">
        <v>82.9188266501018</v>
      </c>
      <c r="L164" s="3" t="n">
        <f aca="false">B164*54.2221/B$137</f>
        <v>60.207726772206</v>
      </c>
      <c r="M164" s="3" t="n">
        <f aca="false">C164*100/C$137</f>
        <v>106.202236528135</v>
      </c>
      <c r="N164" s="3" t="n">
        <f aca="false">L164/M164</f>
        <v>0.566915808371475</v>
      </c>
      <c r="S164" s="3" t="n">
        <f aca="false">SUM(O240:O242)</f>
        <v>0</v>
      </c>
      <c r="T164" s="3" t="n">
        <f aca="false">SUM(P240:P242)</f>
        <v>0</v>
      </c>
      <c r="U164" s="3" t="n">
        <f aca="false">SUM(Q240:Q242)</f>
        <v>0</v>
      </c>
      <c r="V164" s="3" t="n">
        <f aca="false">SUM(R240:R242)</f>
        <v>0</v>
      </c>
    </row>
    <row r="165" customFormat="false" ht="15" hidden="false" customHeight="false" outlineLevel="0" collapsed="false">
      <c r="A165" s="5" t="n">
        <v>41365</v>
      </c>
      <c r="B165" s="6" t="n">
        <v>95.7700534311449</v>
      </c>
      <c r="C165" s="9" t="n">
        <v>232.531</v>
      </c>
      <c r="D165" s="1" t="n">
        <v>3542.849</v>
      </c>
      <c r="E165" s="1" t="n">
        <v>4168.729</v>
      </c>
      <c r="F165" s="1" t="n">
        <v>625.88</v>
      </c>
      <c r="G165" s="1" t="n">
        <v>1925.02181</v>
      </c>
      <c r="H165" s="1" t="n">
        <v>2137.7</v>
      </c>
      <c r="I165" s="3" t="n">
        <f aca="false">G165-H165</f>
        <v>-212.67819</v>
      </c>
      <c r="J165" s="1" t="n">
        <v>92.01909090909</v>
      </c>
      <c r="K165" s="1" t="n">
        <v>83.0672566799176</v>
      </c>
      <c r="L165" s="3" t="n">
        <f aca="false">B165*54.2221/B$137</f>
        <v>60.3155024733462</v>
      </c>
      <c r="M165" s="3" t="n">
        <f aca="false">C165*100/C$137</f>
        <v>106.091824490485</v>
      </c>
      <c r="N165" s="3" t="n">
        <f aca="false">L165/M165</f>
        <v>0.568521681694292</v>
      </c>
    </row>
    <row r="166" customFormat="false" ht="15" hidden="false" customHeight="false" outlineLevel="0" collapsed="false">
      <c r="A166" s="5" t="n">
        <v>41395</v>
      </c>
      <c r="B166" s="6" t="n">
        <v>95.5613721031084</v>
      </c>
      <c r="C166" s="9" t="n">
        <v>232.945</v>
      </c>
      <c r="D166" s="1" t="n">
        <v>3296.965</v>
      </c>
      <c r="E166" s="1" t="n">
        <v>3328.745</v>
      </c>
      <c r="F166" s="1" t="n">
        <v>31.78</v>
      </c>
      <c r="G166" s="1" t="n">
        <v>2049.71678</v>
      </c>
      <c r="H166" s="1" t="n">
        <v>2381.3</v>
      </c>
      <c r="I166" s="3" t="n">
        <f aca="false">G166-H166</f>
        <v>-331.58322</v>
      </c>
      <c r="J166" s="1" t="n">
        <v>94.75818181818</v>
      </c>
      <c r="K166" s="1" t="n">
        <v>82.8862545313412</v>
      </c>
      <c r="L166" s="3" t="n">
        <f aca="false">B166*54.2221/B$137</f>
        <v>60.1840760127107</v>
      </c>
      <c r="M166" s="3" t="n">
        <f aca="false">C166*100/C$137</f>
        <v>106.280711199522</v>
      </c>
      <c r="N166" s="3" t="n">
        <f aca="false">L166/M166</f>
        <v>0.566274682710078</v>
      </c>
    </row>
    <row r="167" customFormat="false" ht="15" hidden="false" customHeight="false" outlineLevel="0" collapsed="false">
      <c r="A167" s="5" t="n">
        <v>41426</v>
      </c>
      <c r="B167" s="6" t="n">
        <v>95.4230089229954</v>
      </c>
      <c r="C167" s="9" t="n">
        <v>233.504</v>
      </c>
      <c r="D167" s="1" t="n">
        <v>3473.891</v>
      </c>
      <c r="E167" s="1" t="n">
        <v>2798.681</v>
      </c>
      <c r="F167" s="1" t="n">
        <v>-675.21</v>
      </c>
      <c r="G167" s="1" t="n">
        <v>1977.30208</v>
      </c>
      <c r="H167" s="1" t="n">
        <v>2112.6</v>
      </c>
      <c r="I167" s="3" t="n">
        <f aca="false">G167-H167</f>
        <v>-135.29792</v>
      </c>
      <c r="J167" s="1" t="n">
        <v>95.7895</v>
      </c>
      <c r="K167" s="1" t="n">
        <v>82.7662436366437</v>
      </c>
      <c r="L167" s="3" t="n">
        <f aca="false">B167*54.2221/B$137</f>
        <v>60.0969355712749</v>
      </c>
      <c r="M167" s="3" t="n">
        <f aca="false">C167*100/C$137</f>
        <v>106.535753881531</v>
      </c>
      <c r="N167" s="3" t="n">
        <f aca="false">L167/M167</f>
        <v>0.564101096408475</v>
      </c>
      <c r="S167" s="3" t="n">
        <f aca="false">SUM(O243:O245)</f>
        <v>0</v>
      </c>
      <c r="T167" s="3" t="n">
        <f aca="false">SUM(P243:P245)</f>
        <v>0</v>
      </c>
      <c r="U167" s="3" t="n">
        <f aca="false">SUM(Q243:Q245)</f>
        <v>0</v>
      </c>
      <c r="V167" s="3" t="n">
        <f aca="false">SUM(R243:R245)</f>
        <v>0</v>
      </c>
    </row>
    <row r="168" customFormat="false" ht="15" hidden="false" customHeight="false" outlineLevel="0" collapsed="false">
      <c r="A168" s="5" t="n">
        <v>41456</v>
      </c>
      <c r="B168" s="6" t="n">
        <v>95.4052026704532</v>
      </c>
      <c r="C168" s="9" t="n">
        <v>233.596</v>
      </c>
      <c r="D168" s="1" t="n">
        <v>3524.614</v>
      </c>
      <c r="E168" s="1" t="n">
        <v>3980.094</v>
      </c>
      <c r="F168" s="1" t="n">
        <v>455.48</v>
      </c>
      <c r="G168" s="1" t="n">
        <v>2123.10629</v>
      </c>
      <c r="H168" s="1" t="n">
        <v>2172</v>
      </c>
      <c r="I168" s="3" t="n">
        <f aca="false">G168-H168</f>
        <v>-48.8937099999998</v>
      </c>
      <c r="J168" s="1" t="n">
        <v>104.69545454546</v>
      </c>
      <c r="K168" s="1" t="n">
        <v>82.7507991788259</v>
      </c>
      <c r="L168" s="3" t="n">
        <f aca="false">B168*54.2221/B$137</f>
        <v>60.0857212821441</v>
      </c>
      <c r="M168" s="3" t="n">
        <f aca="false">C168*100/C$137</f>
        <v>106.577728705761</v>
      </c>
      <c r="N168" s="3" t="n">
        <f aca="false">L168/M168</f>
        <v>0.563773707807456</v>
      </c>
    </row>
    <row r="169" customFormat="false" ht="15" hidden="false" customHeight="false" outlineLevel="0" collapsed="false">
      <c r="A169" s="5" t="n">
        <v>41487</v>
      </c>
      <c r="B169" s="6" t="n">
        <v>95.570817462635</v>
      </c>
      <c r="C169" s="9" t="n">
        <v>233.877</v>
      </c>
      <c r="D169" s="1" t="n">
        <v>3822.635</v>
      </c>
      <c r="E169" s="1" t="n">
        <v>3338.385</v>
      </c>
      <c r="F169" s="1" t="n">
        <v>-484.25</v>
      </c>
      <c r="G169" s="1" t="n">
        <v>2101.36017</v>
      </c>
      <c r="H169" s="1" t="n">
        <v>2322.9</v>
      </c>
      <c r="I169" s="3" t="n">
        <f aca="false">G169-H169</f>
        <v>-221.53983</v>
      </c>
      <c r="J169" s="1" t="n">
        <v>106.54636363636</v>
      </c>
      <c r="K169" s="1" t="n">
        <v>82.894447072497</v>
      </c>
      <c r="L169" s="3" t="n">
        <f aca="false">B169*54.2221/B$137</f>
        <v>60.1900246530787</v>
      </c>
      <c r="M169" s="3" t="n">
        <f aca="false">C169*100/C$137</f>
        <v>106.7059344189</v>
      </c>
      <c r="N169" s="3" t="n">
        <f aca="false">L169/M169</f>
        <v>0.564073825704843</v>
      </c>
    </row>
    <row r="170" customFormat="false" ht="15" hidden="false" customHeight="false" outlineLevel="0" collapsed="false">
      <c r="A170" s="5" t="n">
        <v>41518</v>
      </c>
      <c r="B170" s="6" t="n">
        <v>96.1135456896929</v>
      </c>
      <c r="C170" s="9" t="n">
        <v>234.149</v>
      </c>
      <c r="D170" s="1" t="n">
        <v>3624.365</v>
      </c>
      <c r="E170" s="1" t="n">
        <v>3222.165</v>
      </c>
      <c r="F170" s="1" t="n">
        <v>-402.2</v>
      </c>
      <c r="G170" s="1" t="n">
        <v>2180.067</v>
      </c>
      <c r="H170" s="1" t="n">
        <v>2091</v>
      </c>
      <c r="I170" s="3" t="n">
        <f aca="false">G170-H170</f>
        <v>89.067</v>
      </c>
      <c r="J170" s="1" t="n">
        <v>106.247</v>
      </c>
      <c r="K170" s="1" t="n">
        <v>83.365188638668</v>
      </c>
      <c r="L170" s="3" t="n">
        <f aca="false">B170*54.2221/B$137</f>
        <v>60.5318321863177</v>
      </c>
      <c r="M170" s="3" t="n">
        <f aca="false">C170*100/C$137</f>
        <v>106.830033899233</v>
      </c>
      <c r="N170" s="3" t="n">
        <f aca="false">L170/M170</f>
        <v>0.566618112687431</v>
      </c>
      <c r="S170" s="3" t="n">
        <f aca="false">SUM(O246:O248)</f>
        <v>0</v>
      </c>
      <c r="T170" s="3" t="n">
        <f aca="false">SUM(P246:P248)</f>
        <v>0</v>
      </c>
      <c r="U170" s="3" t="n">
        <f aca="false">SUM(Q246:Q248)</f>
        <v>0</v>
      </c>
      <c r="V170" s="3" t="n">
        <f aca="false">SUM(R246:R248)</f>
        <v>0</v>
      </c>
    </row>
    <row r="171" customFormat="false" ht="15" hidden="false" customHeight="false" outlineLevel="0" collapsed="false">
      <c r="A171" s="5" t="n">
        <v>41548</v>
      </c>
      <c r="B171" s="6" t="n">
        <v>96.5059505025932</v>
      </c>
      <c r="C171" s="9" t="n">
        <v>233.546</v>
      </c>
      <c r="D171" s="1" t="n">
        <v>4083.74</v>
      </c>
      <c r="E171" s="1" t="n">
        <v>3589.64</v>
      </c>
      <c r="F171" s="1" t="n">
        <v>-494.1</v>
      </c>
      <c r="G171" s="1" t="n">
        <v>2122.84026</v>
      </c>
      <c r="H171" s="1" t="n">
        <v>2349.6</v>
      </c>
      <c r="I171" s="3" t="n">
        <f aca="false">G171-H171</f>
        <v>-226.75974</v>
      </c>
      <c r="J171" s="1" t="n">
        <v>100.50043478261</v>
      </c>
      <c r="K171" s="1" t="n">
        <v>83.705545463665</v>
      </c>
      <c r="L171" s="3" t="n">
        <f aca="false">B171*54.2221/B$137</f>
        <v>60.7789667823119</v>
      </c>
      <c r="M171" s="3" t="n">
        <f aca="false">C171*100/C$137</f>
        <v>106.554916301288</v>
      </c>
      <c r="N171" s="3" t="n">
        <f aca="false">L171/M171</f>
        <v>0.570400399081137</v>
      </c>
    </row>
    <row r="172" customFormat="false" ht="15" hidden="false" customHeight="false" outlineLevel="0" collapsed="false">
      <c r="A172" s="5" t="n">
        <v>41579</v>
      </c>
      <c r="B172" s="6" t="n">
        <v>96.8863659830824</v>
      </c>
      <c r="C172" s="9" t="n">
        <v>233.069</v>
      </c>
      <c r="D172" s="1" t="n">
        <v>4185.099</v>
      </c>
      <c r="E172" s="1" t="n">
        <v>3320.609</v>
      </c>
      <c r="F172" s="1" t="n">
        <v>-864.49</v>
      </c>
      <c r="G172" s="1" t="n">
        <v>1998.39443</v>
      </c>
      <c r="H172" s="1" t="n">
        <v>2068</v>
      </c>
      <c r="I172" s="3" t="n">
        <f aca="false">G172-H172</f>
        <v>-69.6055700000002</v>
      </c>
      <c r="J172" s="1" t="n">
        <v>93.94947368421</v>
      </c>
      <c r="K172" s="1" t="n">
        <v>84.035503203383</v>
      </c>
      <c r="L172" s="3" t="n">
        <f aca="false">B172*54.2221/B$137</f>
        <v>61.0185505564907</v>
      </c>
      <c r="M172" s="3" t="n">
        <f aca="false">C172*100/C$137</f>
        <v>106.337285962615</v>
      </c>
      <c r="N172" s="3" t="n">
        <f aca="false">L172/M172</f>
        <v>0.573820838138966</v>
      </c>
    </row>
    <row r="173" customFormat="false" ht="15" hidden="false" customHeight="false" outlineLevel="0" collapsed="false">
      <c r="A173" s="5" t="n">
        <v>41609</v>
      </c>
      <c r="B173" s="6" t="n">
        <v>97.0835264778551</v>
      </c>
      <c r="C173" s="9" t="n">
        <v>233.049</v>
      </c>
      <c r="D173" s="1" t="n">
        <v>6323.266</v>
      </c>
      <c r="E173" s="1" t="n">
        <v>3806.196</v>
      </c>
      <c r="F173" s="1" t="n">
        <v>-2517.07</v>
      </c>
      <c r="G173" s="1" t="n">
        <v>2175.99213</v>
      </c>
      <c r="H173" s="1" t="n">
        <v>1922.7</v>
      </c>
      <c r="I173" s="3" t="n">
        <f aca="false">G173-H173</f>
        <v>253.29213</v>
      </c>
      <c r="J173" s="1" t="n">
        <v>97.85142857143</v>
      </c>
      <c r="K173" s="1" t="n">
        <v>84.206512624801</v>
      </c>
      <c r="L173" s="3" t="n">
        <f aca="false">B173*54.2221/B$137</f>
        <v>61.1427212537396</v>
      </c>
      <c r="M173" s="3" t="n">
        <f aca="false">C173*100/C$137</f>
        <v>106.328161000826</v>
      </c>
      <c r="N173" s="3" t="n">
        <f aca="false">L173/M173</f>
        <v>0.575037889099434</v>
      </c>
      <c r="S173" s="3" t="n">
        <f aca="false">SUM(O249:O251)</f>
        <v>0</v>
      </c>
      <c r="T173" s="3" t="n">
        <f aca="false">SUM(P249:P251)</f>
        <v>0</v>
      </c>
      <c r="U173" s="3" t="n">
        <f aca="false">SUM(Q249:Q251)</f>
        <v>0</v>
      </c>
      <c r="V173" s="3" t="n">
        <f aca="false">SUM(R249:R251)</f>
        <v>0</v>
      </c>
    </row>
    <row r="174" customFormat="false" ht="15" hidden="false" customHeight="false" outlineLevel="0" collapsed="false">
      <c r="A174" s="5" t="n">
        <v>41640</v>
      </c>
      <c r="B174" s="6" t="n">
        <v>97.7841876295295</v>
      </c>
      <c r="C174" s="9" t="n">
        <v>233.916</v>
      </c>
      <c r="D174" s="1" t="n">
        <v>2860.06</v>
      </c>
      <c r="E174" s="1" t="n">
        <v>3466.45</v>
      </c>
      <c r="F174" s="1" t="n">
        <v>606.39</v>
      </c>
      <c r="G174" s="1" t="n">
        <v>2017.1932</v>
      </c>
      <c r="H174" s="1" t="n">
        <v>2227.4</v>
      </c>
      <c r="I174" s="3" t="n">
        <f aca="false">G174-H174</f>
        <v>-210.2068</v>
      </c>
      <c r="J174" s="1" t="n">
        <v>94.86</v>
      </c>
      <c r="K174" s="1" t="n">
        <v>84.8142391285105</v>
      </c>
      <c r="L174" s="3" t="n">
        <f aca="false">B174*54.2221/B$137</f>
        <v>61.5839941559958</v>
      </c>
      <c r="M174" s="3" t="n">
        <f aca="false">C174*100/C$137</f>
        <v>106.723728094389</v>
      </c>
      <c r="N174" s="3" t="n">
        <f aca="false">L174/M174</f>
        <v>0.577041256481686</v>
      </c>
    </row>
    <row r="175" customFormat="false" ht="15" hidden="false" customHeight="false" outlineLevel="0" collapsed="false">
      <c r="A175" s="5" t="n">
        <v>41671</v>
      </c>
      <c r="B175" s="6" t="n">
        <v>97.8916559567775</v>
      </c>
      <c r="C175" s="9" t="n">
        <v>234.781</v>
      </c>
      <c r="D175" s="1" t="n">
        <v>3491.28</v>
      </c>
      <c r="E175" s="1" t="n">
        <v>2862.19</v>
      </c>
      <c r="F175" s="1" t="n">
        <v>-629.09</v>
      </c>
      <c r="G175" s="1" t="n">
        <v>2173.50663</v>
      </c>
      <c r="H175" s="1" t="n">
        <v>1868.4</v>
      </c>
      <c r="I175" s="3" t="n">
        <f aca="false">G175-H175</f>
        <v>305.10663</v>
      </c>
      <c r="J175" s="1" t="n">
        <v>100.73</v>
      </c>
      <c r="K175" s="1" t="n">
        <v>84.9074530174521</v>
      </c>
      <c r="L175" s="3" t="n">
        <f aca="false">B175*54.2221/B$137</f>
        <v>61.651677173032</v>
      </c>
      <c r="M175" s="3" t="n">
        <f aca="false">C175*100/C$137</f>
        <v>107.118382691772</v>
      </c>
      <c r="N175" s="3" t="n">
        <f aca="false">L175/M175</f>
        <v>0.575547124814528</v>
      </c>
    </row>
    <row r="176" customFormat="false" ht="15" hidden="false" customHeight="false" outlineLevel="0" collapsed="false">
      <c r="A176" s="5" t="n">
        <v>41699</v>
      </c>
      <c r="B176" s="6" t="n">
        <v>98.5732580355893</v>
      </c>
      <c r="C176" s="9" t="n">
        <v>236.293</v>
      </c>
      <c r="D176" s="1" t="n">
        <v>3569.612</v>
      </c>
      <c r="E176" s="1" t="n">
        <v>3580.702</v>
      </c>
      <c r="F176" s="1" t="n">
        <v>11.09</v>
      </c>
      <c r="G176" s="1" t="n">
        <v>2464.1554</v>
      </c>
      <c r="H176" s="1" t="n">
        <v>2061.4</v>
      </c>
      <c r="I176" s="3" t="n">
        <f aca="false">G176-H176</f>
        <v>402.7554</v>
      </c>
      <c r="J176" s="1" t="n">
        <v>100.57</v>
      </c>
      <c r="K176" s="1" t="n">
        <v>85.4986484152383</v>
      </c>
      <c r="L176" s="3" t="n">
        <f aca="false">B176*54.2221/B$137</f>
        <v>62.0809467661618</v>
      </c>
      <c r="M176" s="3" t="n">
        <f aca="false">C176*100/C$137</f>
        <v>107.808229803038</v>
      </c>
      <c r="N176" s="3" t="n">
        <f aca="false">L176/M176</f>
        <v>0.575846082247912</v>
      </c>
      <c r="S176" s="3" t="n">
        <f aca="false">SUM(O252:O254)</f>
        <v>0</v>
      </c>
      <c r="T176" s="3" t="n">
        <f aca="false">SUM(P252:P254)</f>
        <v>0</v>
      </c>
      <c r="U176" s="3" t="n">
        <f aca="false">SUM(Q252:Q254)</f>
        <v>0</v>
      </c>
      <c r="V176" s="3" t="n">
        <f aca="false">SUM(R252:R254)</f>
        <v>0</v>
      </c>
    </row>
    <row r="177" customFormat="false" ht="15" hidden="false" customHeight="false" outlineLevel="0" collapsed="false">
      <c r="A177" s="5" t="n">
        <v>41730</v>
      </c>
      <c r="B177" s="6" t="n">
        <v>98.8645182550165</v>
      </c>
      <c r="C177" s="9" t="n">
        <v>237.072</v>
      </c>
      <c r="D177" s="1" t="n">
        <v>3991.477</v>
      </c>
      <c r="E177" s="1" t="n">
        <v>4519.257</v>
      </c>
      <c r="F177" s="1" t="n">
        <v>527.78</v>
      </c>
      <c r="G177" s="1" t="n">
        <v>1872.82589</v>
      </c>
      <c r="H177" s="1" t="n">
        <v>2115.1</v>
      </c>
      <c r="I177" s="3" t="n">
        <f aca="false">G177-H177</f>
        <v>-242.27411</v>
      </c>
      <c r="J177" s="1" t="n">
        <v>102.08</v>
      </c>
      <c r="K177" s="1" t="n">
        <v>85.7512763144719</v>
      </c>
      <c r="L177" s="3" t="n">
        <f aca="false">B177*54.2221/B$137</f>
        <v>62.264381001143</v>
      </c>
      <c r="M177" s="3" t="n">
        <f aca="false">C177*100/C$137</f>
        <v>108.163647064728</v>
      </c>
      <c r="N177" s="3" t="n">
        <f aca="false">L177/M177</f>
        <v>0.575649792613616</v>
      </c>
    </row>
    <row r="178" customFormat="false" ht="15" hidden="false" customHeight="false" outlineLevel="0" collapsed="false">
      <c r="A178" s="5" t="n">
        <v>41760</v>
      </c>
      <c r="B178" s="6" t="n">
        <v>98.8238612066439</v>
      </c>
      <c r="C178" s="9" t="n">
        <v>237.9</v>
      </c>
      <c r="D178" s="1" t="n">
        <v>3396.806</v>
      </c>
      <c r="E178" s="1" t="n">
        <v>3490.226</v>
      </c>
      <c r="F178" s="1" t="n">
        <v>93.42</v>
      </c>
      <c r="G178" s="1" t="n">
        <v>2603.52233</v>
      </c>
      <c r="H178" s="1" t="n">
        <v>2318.2</v>
      </c>
      <c r="I178" s="3" t="n">
        <f aca="false">G178-H178</f>
        <v>285.32233</v>
      </c>
      <c r="J178" s="1" t="n">
        <v>101.86</v>
      </c>
      <c r="K178" s="1" t="n">
        <v>85.7160119562304</v>
      </c>
      <c r="L178" s="3" t="n">
        <f aca="false">B178*54.2221/B$137</f>
        <v>62.2387753946531</v>
      </c>
      <c r="M178" s="3" t="n">
        <f aca="false">C178*100/C$137</f>
        <v>108.541420482802</v>
      </c>
      <c r="N178" s="3" t="n">
        <f aca="false">L178/M178</f>
        <v>0.573410363691663</v>
      </c>
    </row>
    <row r="179" customFormat="false" ht="15" hidden="false" customHeight="false" outlineLevel="0" collapsed="false">
      <c r="A179" s="5" t="n">
        <v>41791</v>
      </c>
      <c r="B179" s="6" t="n">
        <v>98.9266984650289</v>
      </c>
      <c r="C179" s="9" t="n">
        <v>238.343</v>
      </c>
      <c r="D179" s="1" t="n">
        <v>3729.306</v>
      </c>
      <c r="E179" s="1" t="n">
        <v>3911.366</v>
      </c>
      <c r="F179" s="1" t="n">
        <v>182.06</v>
      </c>
      <c r="G179" s="1" t="n">
        <v>2308.44692</v>
      </c>
      <c r="H179" s="1" t="n">
        <v>2136.9</v>
      </c>
      <c r="I179" s="3" t="n">
        <f aca="false">G179-H179</f>
        <v>171.54692</v>
      </c>
      <c r="J179" s="1" t="n">
        <v>105.24</v>
      </c>
      <c r="K179" s="1" t="n">
        <v>85.8052090343615</v>
      </c>
      <c r="L179" s="3" t="n">
        <f aca="false">B179*54.2221/B$137</f>
        <v>62.3035417875938</v>
      </c>
      <c r="M179" s="3" t="n">
        <f aca="false">C179*100/C$137</f>
        <v>108.743538386433</v>
      </c>
      <c r="N179" s="3" t="n">
        <f aca="false">L179/M179</f>
        <v>0.572940173844544</v>
      </c>
      <c r="S179" s="3" t="n">
        <f aca="false">SUM(O255:O257)</f>
        <v>0</v>
      </c>
      <c r="T179" s="3" t="n">
        <f aca="false">SUM(P255:P257)</f>
        <v>0</v>
      </c>
      <c r="U179" s="3" t="n">
        <f aca="false">SUM(Q255:Q257)</f>
        <v>0</v>
      </c>
      <c r="V179" s="3" t="n">
        <f aca="false">SUM(R255:R257)</f>
        <v>0</v>
      </c>
    </row>
    <row r="180" customFormat="false" ht="15" hidden="false" customHeight="false" outlineLevel="0" collapsed="false">
      <c r="A180" s="5" t="n">
        <v>41821</v>
      </c>
      <c r="B180" s="6" t="n">
        <v>99.3257366236039</v>
      </c>
      <c r="C180" s="9" t="n">
        <v>238.25</v>
      </c>
      <c r="D180" s="1" t="n">
        <v>3856.159</v>
      </c>
      <c r="E180" s="1" t="n">
        <v>3637.809</v>
      </c>
      <c r="F180" s="1" t="n">
        <v>-218.35</v>
      </c>
      <c r="G180" s="1" t="n">
        <v>2136.73243</v>
      </c>
      <c r="H180" s="1" t="n">
        <v>2226.5</v>
      </c>
      <c r="I180" s="3" t="n">
        <f aca="false">G180-H180</f>
        <v>-89.7675700000004</v>
      </c>
      <c r="J180" s="1" t="n">
        <v>102.94</v>
      </c>
      <c r="K180" s="1" t="n">
        <v>86.1513193679771</v>
      </c>
      <c r="L180" s="3" t="n">
        <f aca="false">B180*54.2221/B$137</f>
        <v>62.5548540316429</v>
      </c>
      <c r="M180" s="3" t="n">
        <f aca="false">C180*100/C$137</f>
        <v>108.701107314113</v>
      </c>
      <c r="N180" s="3" t="n">
        <f aca="false">L180/M180</f>
        <v>0.575475775521573</v>
      </c>
    </row>
    <row r="181" customFormat="false" ht="15" hidden="false" customHeight="false" outlineLevel="0" collapsed="false">
      <c r="A181" s="5" t="n">
        <v>41852</v>
      </c>
      <c r="B181" s="6" t="n">
        <v>99.5337502894563</v>
      </c>
      <c r="C181" s="9" t="n">
        <v>237.852</v>
      </c>
      <c r="D181" s="1" t="n">
        <v>3826.746</v>
      </c>
      <c r="E181" s="1" t="n">
        <v>3071.066</v>
      </c>
      <c r="F181" s="1" t="n">
        <v>-755.68</v>
      </c>
      <c r="G181" s="1" t="n">
        <v>2290.39861</v>
      </c>
      <c r="H181" s="1" t="n">
        <v>2266.2</v>
      </c>
      <c r="I181" s="3" t="n">
        <f aca="false">G181-H181</f>
        <v>24.1986100000004</v>
      </c>
      <c r="J181" s="1" t="n">
        <v>96.38</v>
      </c>
      <c r="K181" s="1" t="n">
        <v>86.3317424120836</v>
      </c>
      <c r="L181" s="3" t="n">
        <f aca="false">B181*54.2221/B$137</f>
        <v>62.6858600019615</v>
      </c>
      <c r="M181" s="3" t="n">
        <f aca="false">C181*100/C$137</f>
        <v>108.519520574508</v>
      </c>
      <c r="N181" s="3" t="n">
        <f aca="false">L181/M181</f>
        <v>0.577645935681429</v>
      </c>
    </row>
    <row r="182" customFormat="false" ht="15" hidden="false" customHeight="false" outlineLevel="0" collapsed="false">
      <c r="A182" s="5" t="n">
        <v>41883</v>
      </c>
      <c r="B182" s="6" t="n">
        <v>100.143617696456</v>
      </c>
      <c r="C182" s="9" t="n">
        <v>238.031</v>
      </c>
      <c r="D182" s="1" t="n">
        <v>3782.123</v>
      </c>
      <c r="E182" s="1" t="n">
        <v>3399.073</v>
      </c>
      <c r="F182" s="1" t="n">
        <v>-383.05</v>
      </c>
      <c r="G182" s="1" t="n">
        <v>2098.53116</v>
      </c>
      <c r="H182" s="1" t="n">
        <v>2178.8</v>
      </c>
      <c r="I182" s="3" t="n">
        <f aca="false">G182-H182</f>
        <v>-80.2688400000002</v>
      </c>
      <c r="J182" s="1" t="n">
        <v>93.22</v>
      </c>
      <c r="K182" s="1" t="n">
        <v>86.8607179177134</v>
      </c>
      <c r="L182" s="3" t="n">
        <f aca="false">B182*54.2221/B$137</f>
        <v>63.0699514562043</v>
      </c>
      <c r="M182" s="3" t="n">
        <f aca="false">C182*100/C$137</f>
        <v>108.601188982521</v>
      </c>
      <c r="N182" s="3" t="n">
        <f aca="false">L182/M182</f>
        <v>0.580748259269566</v>
      </c>
      <c r="S182" s="3" t="n">
        <f aca="false">SUM(O258:O260)</f>
        <v>0</v>
      </c>
      <c r="T182" s="3" t="n">
        <f aca="false">SUM(P258:P260)</f>
        <v>0</v>
      </c>
      <c r="U182" s="3" t="n">
        <f aca="false">SUM(Q258:Q260)</f>
        <v>0</v>
      </c>
      <c r="V182" s="3" t="n">
        <f aca="false">SUM(R258:R260)</f>
        <v>0</v>
      </c>
    </row>
    <row r="183" customFormat="false" ht="15" hidden="false" customHeight="false" outlineLevel="0" collapsed="false">
      <c r="A183" s="5" t="n">
        <v>41913</v>
      </c>
      <c r="B183" s="6" t="n">
        <v>100.346706871878</v>
      </c>
      <c r="C183" s="9" t="n">
        <v>237.433</v>
      </c>
      <c r="D183" s="1" t="n">
        <v>4272.342</v>
      </c>
      <c r="E183" s="1" t="n">
        <v>3348.352</v>
      </c>
      <c r="F183" s="1" t="n">
        <v>-923.99</v>
      </c>
      <c r="G183" s="1" t="n">
        <v>2071.10417</v>
      </c>
      <c r="H183" s="1" t="n">
        <v>2479.6</v>
      </c>
      <c r="I183" s="3" t="n">
        <f aca="false">G183-H183</f>
        <v>-408.49583</v>
      </c>
      <c r="J183" s="1" t="n">
        <v>84.4</v>
      </c>
      <c r="K183" s="1" t="n">
        <v>87.0368696484406</v>
      </c>
      <c r="L183" s="3" t="n">
        <f aca="false">B183*54.2221/B$137</f>
        <v>63.1978560069867</v>
      </c>
      <c r="M183" s="3" t="n">
        <f aca="false">C183*100/C$137</f>
        <v>108.328352625023</v>
      </c>
      <c r="N183" s="3" t="n">
        <f aca="false">L183/M183</f>
        <v>0.583391646559464</v>
      </c>
    </row>
    <row r="184" customFormat="false" ht="15" hidden="false" customHeight="false" outlineLevel="0" collapsed="false">
      <c r="A184" s="5" t="n">
        <v>41944</v>
      </c>
      <c r="B184" s="6" t="n">
        <v>100.528566297396</v>
      </c>
      <c r="C184" s="9" t="n">
        <v>236.151</v>
      </c>
      <c r="D184" s="1" t="n">
        <v>4020.456</v>
      </c>
      <c r="E184" s="1" t="n">
        <v>3412.126</v>
      </c>
      <c r="F184" s="1" t="n">
        <v>-608.33</v>
      </c>
      <c r="G184" s="1" t="n">
        <v>2025.70675</v>
      </c>
      <c r="H184" s="1" t="n">
        <v>2289.6</v>
      </c>
      <c r="I184" s="3" t="n">
        <f aca="false">G184-H184</f>
        <v>-263.89325</v>
      </c>
      <c r="J184" s="1" t="n">
        <v>75.81</v>
      </c>
      <c r="K184" s="1" t="n">
        <v>87.1946075115613</v>
      </c>
      <c r="L184" s="3" t="n">
        <f aca="false">B184*54.2221/B$137</f>
        <v>63.3123901670572</v>
      </c>
      <c r="M184" s="3" t="n">
        <f aca="false">C184*100/C$137</f>
        <v>107.743442574334</v>
      </c>
      <c r="N184" s="3" t="n">
        <f aca="false">L184/M184</f>
        <v>0.587621748983719</v>
      </c>
    </row>
    <row r="185" customFormat="false" ht="15" hidden="false" customHeight="false" outlineLevel="0" collapsed="false">
      <c r="A185" s="5" t="n">
        <v>41974</v>
      </c>
      <c r="B185" s="6" t="n">
        <v>100.643926187737</v>
      </c>
      <c r="C185" s="9" t="n">
        <v>234.812</v>
      </c>
      <c r="D185" s="1" t="n">
        <v>6485.905</v>
      </c>
      <c r="E185" s="1" t="n">
        <v>3269.465</v>
      </c>
      <c r="F185" s="1" t="n">
        <v>-3216.44</v>
      </c>
      <c r="G185" s="1" t="n">
        <v>1662.30899</v>
      </c>
      <c r="H185" s="1" t="n">
        <v>2270.4</v>
      </c>
      <c r="I185" s="3" t="n">
        <f aca="false">G185-H185</f>
        <v>-608.09101</v>
      </c>
      <c r="J185" s="1" t="n">
        <v>59.26</v>
      </c>
      <c r="K185" s="1" t="n">
        <v>87.2946662384619</v>
      </c>
      <c r="L185" s="3" t="n">
        <f aca="false">B185*54.2221/B$137</f>
        <v>63.3850432512093</v>
      </c>
      <c r="M185" s="3" t="n">
        <f aca="false">C185*100/C$137</f>
        <v>107.132526382546</v>
      </c>
      <c r="N185" s="3" t="n">
        <f aca="false">L185/M185</f>
        <v>0.59165078423406</v>
      </c>
      <c r="S185" s="3" t="n">
        <f aca="false">SUM(O261:O263)</f>
        <v>0</v>
      </c>
      <c r="T185" s="3" t="n">
        <f aca="false">SUM(P261:P263)</f>
        <v>0</v>
      </c>
      <c r="U185" s="3" t="n">
        <f aca="false">SUM(Q261:Q263)</f>
        <v>0</v>
      </c>
      <c r="V185" s="3" t="n">
        <f aca="false">SUM(R261:R263)</f>
        <v>0</v>
      </c>
    </row>
    <row r="186" customFormat="false" ht="15" hidden="false" customHeight="false" outlineLevel="0" collapsed="false">
      <c r="A186" s="5" t="n">
        <v>42005</v>
      </c>
      <c r="B186" s="6" t="n">
        <v>101.238093184276</v>
      </c>
      <c r="C186" s="9" t="n">
        <v>233.707</v>
      </c>
      <c r="D186" s="1" t="n">
        <v>2346.855</v>
      </c>
      <c r="E186" s="1" t="n">
        <v>2945.635</v>
      </c>
      <c r="F186" s="1" t="n">
        <v>598.78</v>
      </c>
      <c r="G186" s="1" t="n">
        <v>1599.29443</v>
      </c>
      <c r="H186" s="1" t="n">
        <v>2072.5</v>
      </c>
      <c r="I186" s="3" t="n">
        <f aca="false">G186-H186</f>
        <v>-473.20557</v>
      </c>
      <c r="J186" s="1" t="n">
        <v>47.27</v>
      </c>
      <c r="K186" s="1" t="n">
        <v>87.8100238126091</v>
      </c>
      <c r="L186" s="3" t="n">
        <f aca="false">B186*54.2221/B$137</f>
        <v>63.7592466651719</v>
      </c>
      <c r="M186" s="3" t="n">
        <f aca="false">C186*100/C$137</f>
        <v>106.628372243691</v>
      </c>
      <c r="N186" s="3" t="n">
        <f aca="false">L186/M186</f>
        <v>0.597957610376484</v>
      </c>
    </row>
    <row r="187" customFormat="false" ht="15" hidden="false" customHeight="false" outlineLevel="0" collapsed="false">
      <c r="A187" s="5" t="n">
        <v>42036</v>
      </c>
      <c r="B187" s="6" t="n">
        <v>101.858065813691</v>
      </c>
      <c r="C187" s="9" t="n">
        <v>234.722</v>
      </c>
      <c r="D187" s="1" t="n">
        <v>3246.544</v>
      </c>
      <c r="E187" s="1" t="n">
        <v>2728.894</v>
      </c>
      <c r="F187" s="1" t="n">
        <v>-517.65</v>
      </c>
      <c r="G187" s="1" t="n">
        <v>1557.09802</v>
      </c>
      <c r="H187" s="1" t="n">
        <v>1778.7</v>
      </c>
      <c r="I187" s="3" t="n">
        <f aca="false">G187-H187</f>
        <v>-221.60198</v>
      </c>
      <c r="J187" s="1" t="n">
        <v>50.61</v>
      </c>
      <c r="K187" s="1" t="n">
        <v>88.3477641990558</v>
      </c>
      <c r="L187" s="3" t="n">
        <f aca="false">B187*54.2221/B$137</f>
        <v>64.1497023381421</v>
      </c>
      <c r="M187" s="3" t="n">
        <f aca="false">C187*100/C$137</f>
        <v>107.091464054494</v>
      </c>
      <c r="N187" s="3" t="n">
        <f aca="false">L187/M187</f>
        <v>0.599017885361051</v>
      </c>
    </row>
    <row r="188" customFormat="false" ht="15" hidden="false" customHeight="false" outlineLevel="0" collapsed="false">
      <c r="A188" s="5" t="n">
        <v>42064</v>
      </c>
      <c r="B188" s="6" t="n">
        <v>102.279947496732</v>
      </c>
      <c r="C188" s="9" t="n">
        <v>236.119</v>
      </c>
      <c r="D188" s="1" t="n">
        <v>3697.877</v>
      </c>
      <c r="E188" s="1" t="n">
        <v>3081.987</v>
      </c>
      <c r="F188" s="1" t="n">
        <v>-615.89</v>
      </c>
      <c r="G188" s="1" t="n">
        <v>1713.98411</v>
      </c>
      <c r="H188" s="1" t="n">
        <v>1916.5</v>
      </c>
      <c r="I188" s="3" t="n">
        <f aca="false">G188-H188</f>
        <v>-202.51589</v>
      </c>
      <c r="J188" s="1" t="n">
        <v>47.78</v>
      </c>
      <c r="K188" s="1" t="n">
        <v>88.7136881261939</v>
      </c>
      <c r="L188" s="3" t="n">
        <f aca="false">B188*54.2221/B$137</f>
        <v>64.4154013200815</v>
      </c>
      <c r="M188" s="3" t="n">
        <f aca="false">C188*100/C$137</f>
        <v>107.728842635471</v>
      </c>
      <c r="N188" s="3" t="n">
        <f aca="false">L188/M188</f>
        <v>0.597940159238949</v>
      </c>
      <c r="S188" s="3" t="n">
        <f aca="false">SUM(O264:O266)</f>
        <v>0</v>
      </c>
      <c r="T188" s="3" t="n">
        <f aca="false">SUM(P264:P266)</f>
        <v>0</v>
      </c>
      <c r="U188" s="3" t="n">
        <f aca="false">SUM(Q264:Q266)</f>
        <v>0</v>
      </c>
      <c r="V188" s="3" t="n">
        <f aca="false">SUM(R264:R266)</f>
        <v>0</v>
      </c>
    </row>
    <row r="189" customFormat="false" ht="15" hidden="false" customHeight="false" outlineLevel="0" collapsed="false">
      <c r="A189" s="5" t="n">
        <v>42095</v>
      </c>
      <c r="B189" s="6" t="n">
        <v>103.136275634797</v>
      </c>
      <c r="C189" s="9" t="n">
        <v>236.599</v>
      </c>
      <c r="D189" s="1" t="n">
        <v>3185.393</v>
      </c>
      <c r="E189" s="1" t="n">
        <v>3607.423</v>
      </c>
      <c r="F189" s="1" t="n">
        <v>422.03</v>
      </c>
      <c r="G189" s="1" t="n">
        <v>1531.26053</v>
      </c>
      <c r="H189" s="1" t="n">
        <v>1828.4</v>
      </c>
      <c r="I189" s="3" t="n">
        <f aca="false">G189-H189</f>
        <v>-297.13947</v>
      </c>
      <c r="J189" s="1" t="n">
        <v>54.44</v>
      </c>
      <c r="K189" s="1" t="n">
        <v>89.4564341798755</v>
      </c>
      <c r="L189" s="3" t="n">
        <f aca="false">B189*54.2221/B$137</f>
        <v>64.9547125147503</v>
      </c>
      <c r="M189" s="3" t="n">
        <f aca="false">C189*100/C$137</f>
        <v>107.947841718413</v>
      </c>
      <c r="N189" s="3" t="n">
        <f aca="false">L189/M189</f>
        <v>0.601723123693272</v>
      </c>
    </row>
    <row r="190" customFormat="false" ht="15" hidden="false" customHeight="false" outlineLevel="0" collapsed="false">
      <c r="A190" s="5" t="n">
        <v>42125</v>
      </c>
      <c r="B190" s="6" t="n">
        <v>103.31885533217</v>
      </c>
      <c r="C190" s="9" t="n">
        <v>237.805</v>
      </c>
      <c r="D190" s="1" t="n">
        <v>3691.454</v>
      </c>
      <c r="E190" s="1" t="n">
        <v>3188.694</v>
      </c>
      <c r="F190" s="1" t="n">
        <v>-502.76</v>
      </c>
      <c r="G190" s="1" t="n">
        <v>1767.38475</v>
      </c>
      <c r="H190" s="1" t="n">
        <v>1663.8</v>
      </c>
      <c r="I190" s="3" t="n">
        <f aca="false">G190-H190</f>
        <v>103.58475</v>
      </c>
      <c r="J190" s="1" t="n">
        <v>59.27</v>
      </c>
      <c r="K190" s="1" t="n">
        <v>89.6147967790693</v>
      </c>
      <c r="L190" s="3" t="n">
        <f aca="false">B190*54.2221/B$137</f>
        <v>65.0697002984466</v>
      </c>
      <c r="M190" s="3" t="n">
        <f aca="false">C190*100/C$137</f>
        <v>108.498076914303</v>
      </c>
      <c r="N190" s="3" t="n">
        <f aca="false">L190/M190</f>
        <v>0.599731369891853</v>
      </c>
    </row>
    <row r="191" customFormat="false" ht="15" hidden="false" customHeight="false" outlineLevel="0" collapsed="false">
      <c r="A191" s="5" t="n">
        <v>42156</v>
      </c>
      <c r="B191" s="6" t="n">
        <v>103.73993026801</v>
      </c>
      <c r="C191" s="9" t="n">
        <v>238.638</v>
      </c>
      <c r="D191" s="1" t="n">
        <v>3771.24</v>
      </c>
      <c r="E191" s="1" t="n">
        <v>3430.41</v>
      </c>
      <c r="F191" s="1" t="n">
        <v>-340.83</v>
      </c>
      <c r="G191" s="1" t="n">
        <v>1635.59528</v>
      </c>
      <c r="H191" s="1" t="n">
        <v>1754.5</v>
      </c>
      <c r="I191" s="3" t="n">
        <f aca="false">G191-H191</f>
        <v>-118.90472</v>
      </c>
      <c r="J191" s="1" t="n">
        <v>59.8</v>
      </c>
      <c r="K191" s="1" t="n">
        <v>89.9800209647485</v>
      </c>
      <c r="L191" s="3" t="n">
        <f aca="false">B191*54.2221/B$137</f>
        <v>65.3348911950178</v>
      </c>
      <c r="M191" s="3" t="n">
        <f aca="false">C191*100/C$137</f>
        <v>108.878131572824</v>
      </c>
      <c r="N191" s="3" t="n">
        <f aca="false">L191/M191</f>
        <v>0.600073589169906</v>
      </c>
      <c r="S191" s="3" t="n">
        <f aca="false">SUM(O267:O269)</f>
        <v>0</v>
      </c>
      <c r="T191" s="3" t="n">
        <f aca="false">SUM(P267:P269)</f>
        <v>0</v>
      </c>
      <c r="U191" s="3" t="n">
        <f aca="false">SUM(Q267:Q269)</f>
        <v>0</v>
      </c>
      <c r="V191" s="3" t="n">
        <f aca="false">SUM(R267:R269)</f>
        <v>0</v>
      </c>
    </row>
    <row r="192" customFormat="false" ht="15" hidden="false" customHeight="false" outlineLevel="0" collapsed="false">
      <c r="A192" s="5" t="n">
        <v>42186</v>
      </c>
      <c r="B192" s="6" t="n">
        <v>103.657455089685</v>
      </c>
      <c r="C192" s="9" t="n">
        <v>238.654</v>
      </c>
      <c r="D192" s="1" t="n">
        <v>3478.08</v>
      </c>
      <c r="E192" s="1" t="n">
        <v>3917.62</v>
      </c>
      <c r="F192" s="1" t="n">
        <v>439.54</v>
      </c>
      <c r="G192" s="1" t="n">
        <v>1533.31967</v>
      </c>
      <c r="H192" s="1" t="n">
        <v>1728.4</v>
      </c>
      <c r="I192" s="3" t="n">
        <f aca="false">G192-H192</f>
        <v>-195.08033</v>
      </c>
      <c r="J192" s="1" t="n">
        <v>50.9</v>
      </c>
      <c r="K192" s="1" t="n">
        <v>89.9084851708117</v>
      </c>
      <c r="L192" s="3" t="n">
        <f aca="false">B192*54.2221/B$137</f>
        <v>65.2829487386447</v>
      </c>
      <c r="M192" s="3" t="n">
        <f aca="false">C192*100/C$137</f>
        <v>108.885431542255</v>
      </c>
      <c r="N192" s="3" t="n">
        <f aca="false">L192/M192</f>
        <v>0.599556320932706</v>
      </c>
    </row>
    <row r="193" customFormat="false" ht="15" hidden="false" customHeight="false" outlineLevel="0" collapsed="false">
      <c r="A193" s="5" t="n">
        <v>42217</v>
      </c>
      <c r="B193" s="6" t="n">
        <v>103.656098306969</v>
      </c>
      <c r="C193" s="9" t="n">
        <v>238.316</v>
      </c>
      <c r="D193" s="1" t="n">
        <v>3367.214</v>
      </c>
      <c r="E193" s="1" t="n">
        <v>3008.404</v>
      </c>
      <c r="F193" s="1" t="n">
        <v>-358.81</v>
      </c>
      <c r="G193" s="1" t="n">
        <v>1533.34306</v>
      </c>
      <c r="H193" s="1" t="n">
        <v>1538.3</v>
      </c>
      <c r="I193" s="3" t="n">
        <f aca="false">G193-H193</f>
        <v>-4.9569399999998</v>
      </c>
      <c r="J193" s="1" t="n">
        <v>42.86</v>
      </c>
      <c r="K193" s="1" t="n">
        <v>89.907308349727</v>
      </c>
      <c r="L193" s="3" t="n">
        <f aca="false">B193*54.2221/B$137</f>
        <v>65.2820942436502</v>
      </c>
      <c r="M193" s="3" t="n">
        <f aca="false">C193*100/C$137</f>
        <v>108.731219688018</v>
      </c>
      <c r="N193" s="3" t="n">
        <f aca="false">L193/M193</f>
        <v>0.600398803866673</v>
      </c>
    </row>
    <row r="194" customFormat="false" ht="15" hidden="false" customHeight="false" outlineLevel="0" collapsed="false">
      <c r="A194" s="5" t="n">
        <v>42248</v>
      </c>
      <c r="B194" s="6" t="n">
        <v>103.93019277185</v>
      </c>
      <c r="C194" s="9" t="n">
        <v>237.945</v>
      </c>
      <c r="D194" s="1" t="n">
        <v>3375.257</v>
      </c>
      <c r="E194" s="1" t="n">
        <v>2731.937</v>
      </c>
      <c r="F194" s="1" t="n">
        <v>-643.32</v>
      </c>
      <c r="G194" s="1" t="n">
        <v>1371.26524</v>
      </c>
      <c r="H194" s="1" t="n">
        <v>1649.9</v>
      </c>
      <c r="I194" s="3" t="n">
        <f aca="false">G194-H194</f>
        <v>-278.63476</v>
      </c>
      <c r="J194" s="1" t="n">
        <v>45.45</v>
      </c>
      <c r="K194" s="1" t="n">
        <v>90.145047334442</v>
      </c>
      <c r="L194" s="3" t="n">
        <f aca="false">B194*54.2221/B$137</f>
        <v>65.4547175719472</v>
      </c>
      <c r="M194" s="3" t="n">
        <f aca="false">C194*100/C$137</f>
        <v>108.561951646827</v>
      </c>
      <c r="N194" s="3" t="n">
        <f aca="false">L194/M194</f>
        <v>0.602925026485188</v>
      </c>
      <c r="S194" s="3" t="n">
        <f aca="false">SUM(O270:O272)</f>
        <v>0</v>
      </c>
      <c r="T194" s="3" t="n">
        <f aca="false">SUM(P270:P272)</f>
        <v>0</v>
      </c>
      <c r="U194" s="3" t="n">
        <f aca="false">SUM(Q270:Q272)</f>
        <v>0</v>
      </c>
      <c r="V194" s="3" t="n">
        <f aca="false">SUM(R270:R272)</f>
        <v>0</v>
      </c>
    </row>
    <row r="195" customFormat="false" ht="15" hidden="false" customHeight="false" outlineLevel="0" collapsed="false">
      <c r="A195" s="5" t="n">
        <v>42278</v>
      </c>
      <c r="B195" s="6" t="n">
        <v>103.836155081974</v>
      </c>
      <c r="C195" s="9" t="n">
        <v>237.838</v>
      </c>
      <c r="D195" s="1" t="n">
        <v>3497.09</v>
      </c>
      <c r="E195" s="1" t="n">
        <v>2734.68</v>
      </c>
      <c r="F195" s="1" t="n">
        <v>-762.41</v>
      </c>
      <c r="G195" s="1" t="n">
        <v>1418.71971</v>
      </c>
      <c r="H195" s="1" t="n">
        <v>1630.2</v>
      </c>
      <c r="I195" s="3" t="n">
        <f aca="false">G195-H195</f>
        <v>-211.48029</v>
      </c>
      <c r="J195" s="1" t="n">
        <v>46.2</v>
      </c>
      <c r="K195" s="1" t="n">
        <v>90.0634826632044</v>
      </c>
      <c r="L195" s="3" t="n">
        <f aca="false">B195*54.2221/B$137</f>
        <v>65.3954931034093</v>
      </c>
      <c r="M195" s="3" t="n">
        <f aca="false">C195*100/C$137</f>
        <v>108.513133101255</v>
      </c>
      <c r="N195" s="3" t="n">
        <f aca="false">L195/M195</f>
        <v>0.602650492474379</v>
      </c>
    </row>
    <row r="196" customFormat="false" ht="15" hidden="false" customHeight="false" outlineLevel="0" collapsed="false">
      <c r="A196" s="5" t="n">
        <v>42309</v>
      </c>
      <c r="B196" s="6" t="n">
        <v>103.947684766464</v>
      </c>
      <c r="C196" s="9" t="n">
        <v>237.336</v>
      </c>
      <c r="D196" s="1" t="n">
        <v>3316.17</v>
      </c>
      <c r="E196" s="1" t="n">
        <v>2802.78</v>
      </c>
      <c r="F196" s="1" t="n">
        <v>-513.39</v>
      </c>
      <c r="G196" s="1" t="n">
        <v>1331.49976</v>
      </c>
      <c r="H196" s="1" t="n">
        <v>1473.1</v>
      </c>
      <c r="I196" s="3" t="n">
        <f aca="false">G196-H196</f>
        <v>-141.60024</v>
      </c>
      <c r="J196" s="1" t="n">
        <v>42.7</v>
      </c>
      <c r="K196" s="1" t="n">
        <v>90.1602192170336</v>
      </c>
      <c r="L196" s="3" t="n">
        <f aca="false">B196*54.2221/B$137</f>
        <v>65.4657339430006</v>
      </c>
      <c r="M196" s="3" t="n">
        <f aca="false">C196*100/C$137</f>
        <v>108.284096560346</v>
      </c>
      <c r="N196" s="3" t="n">
        <f aca="false">L196/M196</f>
        <v>0.604573857311699</v>
      </c>
    </row>
    <row r="197" customFormat="false" ht="15" hidden="false" customHeight="false" outlineLevel="0" collapsed="false">
      <c r="A197" s="5" t="n">
        <v>42339</v>
      </c>
      <c r="B197" s="6" t="n">
        <v>104.045816831999</v>
      </c>
      <c r="C197" s="9" t="n">
        <v>236.525</v>
      </c>
      <c r="D197" s="1" t="n">
        <v>5947.731</v>
      </c>
      <c r="E197" s="1" t="n">
        <v>2802.451</v>
      </c>
      <c r="F197" s="1" t="n">
        <v>-3145.28</v>
      </c>
      <c r="G197" s="1" t="n">
        <v>1337.84314</v>
      </c>
      <c r="H197" s="1" t="n">
        <v>1400.4</v>
      </c>
      <c r="I197" s="3" t="n">
        <f aca="false">G197-H197</f>
        <v>-62.5568599999999</v>
      </c>
      <c r="J197" s="1" t="n">
        <v>37.23</v>
      </c>
      <c r="K197" s="1" t="n">
        <v>90.2453351920616</v>
      </c>
      <c r="L197" s="3" t="n">
        <f aca="false">B197*54.2221/B$137</f>
        <v>65.5275370289278</v>
      </c>
      <c r="M197" s="3" t="n">
        <f aca="false">C197*100/C$137</f>
        <v>107.914079359793</v>
      </c>
      <c r="N197" s="3" t="n">
        <f aca="false">L197/M197</f>
        <v>0.607219534445127</v>
      </c>
      <c r="S197" s="3" t="n">
        <f aca="false">SUM(O273:O275)</f>
        <v>0</v>
      </c>
      <c r="T197" s="3" t="n">
        <f aca="false">SUM(P273:P275)</f>
        <v>0</v>
      </c>
      <c r="U197" s="3" t="n">
        <f aca="false">SUM(Q273:Q275)</f>
        <v>0</v>
      </c>
      <c r="V197" s="3" t="n">
        <f aca="false">SUM(R273:R275)</f>
        <v>0</v>
      </c>
    </row>
    <row r="198" customFormat="false" ht="15" hidden="false" customHeight="false" outlineLevel="0" collapsed="false">
      <c r="A198" s="5" t="n">
        <v>42370</v>
      </c>
      <c r="B198" s="6" t="n">
        <v>104.366441047927</v>
      </c>
      <c r="C198" s="9" t="n">
        <v>236.916</v>
      </c>
      <c r="D198" s="1" t="n">
        <v>2460.689</v>
      </c>
      <c r="E198" s="1" t="n">
        <v>2672.219</v>
      </c>
      <c r="F198" s="1" t="n">
        <v>211.53</v>
      </c>
      <c r="G198" s="1" t="n">
        <v>1157.10634</v>
      </c>
      <c r="H198" s="1" t="n">
        <v>1278</v>
      </c>
      <c r="I198" s="3" t="n">
        <f aca="false">G198-H198</f>
        <v>-120.89366</v>
      </c>
      <c r="J198" s="1" t="n">
        <v>31.54</v>
      </c>
      <c r="K198" s="1" t="n">
        <v>90.523432291187</v>
      </c>
      <c r="L198" s="3" t="n">
        <f aca="false">B198*54.2221/B$137</f>
        <v>65.729464562598</v>
      </c>
      <c r="M198" s="3" t="n">
        <f aca="false">C198*100/C$137</f>
        <v>108.092472362772</v>
      </c>
      <c r="N198" s="3" t="n">
        <f aca="false">L198/M198</f>
        <v>0.608085495000999</v>
      </c>
    </row>
    <row r="199" customFormat="false" ht="15" hidden="false" customHeight="false" outlineLevel="0" collapsed="false">
      <c r="A199" s="5" t="n">
        <v>42401</v>
      </c>
      <c r="B199" s="6" t="n">
        <v>104.510512262804</v>
      </c>
      <c r="C199" s="9" t="n">
        <v>237.111</v>
      </c>
      <c r="D199" s="1" t="n">
        <v>3269.754</v>
      </c>
      <c r="E199" s="1" t="n">
        <v>2845.524</v>
      </c>
      <c r="F199" s="1" t="n">
        <v>-424.23</v>
      </c>
      <c r="G199" s="1" t="n">
        <v>1185.39097</v>
      </c>
      <c r="H199" s="1" t="n">
        <v>1205.9</v>
      </c>
      <c r="I199" s="3" t="n">
        <f aca="false">G199-H199</f>
        <v>-20.5090300000002</v>
      </c>
      <c r="J199" s="1" t="n">
        <v>30.39</v>
      </c>
      <c r="K199" s="1" t="n">
        <v>90.6483941154486</v>
      </c>
      <c r="L199" s="3" t="n">
        <f aca="false">B199*54.2221/B$137</f>
        <v>65.8201998958878</v>
      </c>
      <c r="M199" s="3" t="n">
        <f aca="false">C199*100/C$137</f>
        <v>108.181440740217</v>
      </c>
      <c r="N199" s="3" t="n">
        <f aca="false">L199/M199</f>
        <v>0.608424138609377</v>
      </c>
    </row>
    <row r="200" customFormat="false" ht="15" hidden="false" customHeight="false" outlineLevel="0" collapsed="false">
      <c r="A200" s="5" t="n">
        <v>42430</v>
      </c>
      <c r="B200" s="6" t="n">
        <v>104.653707987237</v>
      </c>
      <c r="C200" s="9" t="n">
        <v>238.132</v>
      </c>
      <c r="D200" s="1" t="n">
        <v>3722.527</v>
      </c>
      <c r="E200" s="1" t="n">
        <v>3052.287</v>
      </c>
      <c r="F200" s="1" t="n">
        <v>-670.24</v>
      </c>
      <c r="G200" s="1" t="n">
        <v>1284.68917</v>
      </c>
      <c r="H200" s="1" t="n">
        <v>1207.7</v>
      </c>
      <c r="I200" s="3" t="n">
        <f aca="false">G200-H200</f>
        <v>76.9891699999998</v>
      </c>
      <c r="J200" s="1" t="n">
        <v>37.77</v>
      </c>
      <c r="K200" s="1" t="n">
        <v>90.7725965730102</v>
      </c>
      <c r="L200" s="3" t="n">
        <f aca="false">B200*54.2221/B$137</f>
        <v>65.9103838496582</v>
      </c>
      <c r="M200" s="3" t="n">
        <f aca="false">C200*100/C$137</f>
        <v>108.647270039557</v>
      </c>
      <c r="N200" s="3" t="n">
        <f aca="false">L200/M200</f>
        <v>0.606645558840653</v>
      </c>
      <c r="S200" s="3" t="n">
        <f aca="false">SUM(O276:O278)</f>
        <v>0</v>
      </c>
      <c r="T200" s="3" t="n">
        <f aca="false">SUM(P276:P278)</f>
        <v>0</v>
      </c>
      <c r="U200" s="3" t="n">
        <f aca="false">SUM(Q276:Q278)</f>
        <v>0</v>
      </c>
      <c r="V200" s="3" t="n">
        <f aca="false">SUM(R276:R278)</f>
        <v>0</v>
      </c>
    </row>
    <row r="201" customFormat="false" ht="15" hidden="false" customHeight="false" outlineLevel="0" collapsed="false">
      <c r="A201" s="5" t="n">
        <v>42461</v>
      </c>
      <c r="B201" s="6" t="n">
        <v>104.974551162184</v>
      </c>
      <c r="C201" s="9" t="n">
        <v>239.261</v>
      </c>
      <c r="D201" s="1" t="n">
        <v>3137.177</v>
      </c>
      <c r="E201" s="1" t="n">
        <v>3120.907</v>
      </c>
      <c r="F201" s="1" t="n">
        <v>-16.27</v>
      </c>
      <c r="G201" s="1" t="n">
        <v>1263.6389</v>
      </c>
      <c r="H201" s="1" t="n">
        <v>1150.1</v>
      </c>
      <c r="I201" s="3" t="n">
        <f aca="false">G201-H201</f>
        <v>113.5389</v>
      </c>
      <c r="J201" s="1" t="n">
        <v>40.96</v>
      </c>
      <c r="K201" s="1" t="n">
        <v>91.0508835887578</v>
      </c>
      <c r="L201" s="3" t="n">
        <f aca="false">B201*54.2221/B$137</f>
        <v>66.1124492826279</v>
      </c>
      <c r="M201" s="3" t="n">
        <f aca="false">C201*100/C$137</f>
        <v>109.162374132558</v>
      </c>
      <c r="N201" s="3" t="n">
        <f aca="false">L201/M201</f>
        <v>0.605634036525681</v>
      </c>
    </row>
    <row r="202" customFormat="false" ht="15" hidden="false" customHeight="false" outlineLevel="0" collapsed="false">
      <c r="A202" s="5" t="n">
        <v>42491</v>
      </c>
      <c r="B202" s="6" t="n">
        <v>105.007932603396</v>
      </c>
      <c r="C202" s="9" t="n">
        <v>240.229</v>
      </c>
      <c r="D202" s="1" t="n">
        <v>3011.552</v>
      </c>
      <c r="E202" s="1" t="n">
        <v>2457.082</v>
      </c>
      <c r="F202" s="1" t="n">
        <v>-554.47</v>
      </c>
      <c r="G202" s="1" t="n">
        <v>1525.12767</v>
      </c>
      <c r="H202" s="1" t="n">
        <v>1180.7</v>
      </c>
      <c r="I202" s="3" t="n">
        <f aca="false">G202-H202</f>
        <v>344.42767</v>
      </c>
      <c r="J202" s="1" t="n">
        <v>46.73</v>
      </c>
      <c r="K202" s="1" t="n">
        <v>91.0798373654986</v>
      </c>
      <c r="L202" s="3" t="n">
        <f aca="false">B202*54.2221/B$137</f>
        <v>66.1334727479789</v>
      </c>
      <c r="M202" s="3" t="n">
        <f aca="false">C202*100/C$137</f>
        <v>109.604022283157</v>
      </c>
      <c r="N202" s="3" t="n">
        <f aca="false">L202/M202</f>
        <v>0.603385454022174</v>
      </c>
    </row>
    <row r="203" customFormat="false" ht="15" hidden="false" customHeight="false" outlineLevel="0" collapsed="false">
      <c r="A203" s="5" t="n">
        <v>42522</v>
      </c>
      <c r="B203" s="6" t="n">
        <v>105.384761150658</v>
      </c>
      <c r="C203" s="9" t="n">
        <v>241.018</v>
      </c>
      <c r="D203" s="1" t="n">
        <v>3523.136</v>
      </c>
      <c r="E203" s="1" t="n">
        <v>3143.026</v>
      </c>
      <c r="F203" s="1" t="n">
        <v>-380.11</v>
      </c>
      <c r="G203" s="1" t="n">
        <v>1508.7696</v>
      </c>
      <c r="H203" s="1" t="n">
        <v>1221.9</v>
      </c>
      <c r="I203" s="3" t="n">
        <f aca="false">G203-H203</f>
        <v>286.8696</v>
      </c>
      <c r="J203" s="1" t="n">
        <v>48.75</v>
      </c>
      <c r="K203" s="1" t="n">
        <v>91.4066839374519</v>
      </c>
      <c r="L203" s="3" t="n">
        <f aca="false">B203*54.2221/B$137</f>
        <v>66.3707974894835</v>
      </c>
      <c r="M203" s="3" t="n">
        <f aca="false">C203*100/C$137</f>
        <v>109.964002025742</v>
      </c>
      <c r="N203" s="3" t="n">
        <f aca="false">L203/M203</f>
        <v>0.603568406631352</v>
      </c>
      <c r="S203" s="3" t="n">
        <f aca="false">SUM(O279:O281)</f>
        <v>0</v>
      </c>
      <c r="T203" s="3" t="n">
        <f aca="false">SUM(P279:P281)</f>
        <v>0</v>
      </c>
      <c r="U203" s="3" t="n">
        <f aca="false">SUM(Q279:Q281)</f>
        <v>0</v>
      </c>
      <c r="V203" s="3" t="n">
        <f aca="false">SUM(R279:R281)</f>
        <v>0</v>
      </c>
    </row>
    <row r="204" customFormat="false" ht="15" hidden="false" customHeight="false" outlineLevel="0" collapsed="false">
      <c r="A204" s="5" t="n">
        <v>42552</v>
      </c>
      <c r="B204" s="6" t="n">
        <v>105.294970827379</v>
      </c>
      <c r="C204" s="9" t="n">
        <v>240.628</v>
      </c>
      <c r="D204" s="1" t="n">
        <v>3066.909</v>
      </c>
      <c r="E204" s="1" t="n">
        <v>2806.289</v>
      </c>
      <c r="F204" s="1" t="n">
        <v>-260.62</v>
      </c>
      <c r="G204" s="1" t="n">
        <v>1443.55263</v>
      </c>
      <c r="H204" s="1" t="n">
        <v>1175.6</v>
      </c>
      <c r="I204" s="3" t="n">
        <f aca="false">G204-H204</f>
        <v>267.95263</v>
      </c>
      <c r="J204" s="1" t="n">
        <v>44.69</v>
      </c>
      <c r="K204" s="1" t="n">
        <v>91.3288032684539</v>
      </c>
      <c r="L204" s="3" t="n">
        <f aca="false">B204*54.2221/B$137</f>
        <v>66.3142479912657</v>
      </c>
      <c r="M204" s="3" t="n">
        <f aca="false">C204*100/C$137</f>
        <v>109.786065270852</v>
      </c>
      <c r="N204" s="3" t="n">
        <f aca="false">L204/M204</f>
        <v>0.604031557444588</v>
      </c>
    </row>
    <row r="205" customFormat="false" ht="15" hidden="false" customHeight="false" outlineLevel="0" collapsed="false">
      <c r="A205" s="5" t="n">
        <v>42583</v>
      </c>
      <c r="B205" s="6" t="n">
        <v>105.12332203234</v>
      </c>
      <c r="C205" s="9" t="n">
        <v>240.849</v>
      </c>
      <c r="D205" s="1" t="n">
        <v>3578.113</v>
      </c>
      <c r="E205" s="1" t="n">
        <v>3017.383</v>
      </c>
      <c r="F205" s="1" t="n">
        <v>-560.73</v>
      </c>
      <c r="G205" s="1" t="n">
        <v>1385.04692</v>
      </c>
      <c r="H205" s="1" t="n">
        <v>1450.2</v>
      </c>
      <c r="I205" s="3" t="n">
        <f aca="false">G205-H205</f>
        <v>-65.1530800000001</v>
      </c>
      <c r="J205" s="1" t="n">
        <v>44.75</v>
      </c>
      <c r="K205" s="1" t="n">
        <v>91.1799217130461</v>
      </c>
      <c r="L205" s="3" t="n">
        <f aca="false">B205*54.2221/B$137</f>
        <v>66.2061444353961</v>
      </c>
      <c r="M205" s="3" t="n">
        <f aca="false">C205*100/C$137</f>
        <v>109.886896098623</v>
      </c>
      <c r="N205" s="3" t="n">
        <f aca="false">L205/M205</f>
        <v>0.602493534588298</v>
      </c>
    </row>
    <row r="206" customFormat="false" ht="15" hidden="false" customHeight="false" outlineLevel="0" collapsed="false">
      <c r="A206" s="5" t="n">
        <v>42614</v>
      </c>
      <c r="B206" s="6" t="n">
        <v>105.283497330793</v>
      </c>
      <c r="C206" s="9" t="n">
        <v>241.428</v>
      </c>
      <c r="D206" s="1" t="n">
        <v>3673.196</v>
      </c>
      <c r="E206" s="1" t="n">
        <v>2748.586</v>
      </c>
      <c r="F206" s="1" t="n">
        <v>-924.61</v>
      </c>
      <c r="G206" s="1" t="n">
        <v>1406.64781</v>
      </c>
      <c r="H206" s="1" t="n">
        <v>1329.9</v>
      </c>
      <c r="I206" s="3" t="n">
        <f aca="false">G206-H206</f>
        <v>76.7478100000001</v>
      </c>
      <c r="J206" s="1" t="n">
        <v>45.2</v>
      </c>
      <c r="K206" s="1" t="n">
        <v>91.3188515993071</v>
      </c>
      <c r="L206" s="3" t="n">
        <f aca="false">B206*54.2221/B$137</f>
        <v>66.307022040283</v>
      </c>
      <c r="M206" s="3" t="n">
        <f aca="false">C206*100/C$137</f>
        <v>110.151063742421</v>
      </c>
      <c r="N206" s="3" t="n">
        <f aca="false">L206/M206</f>
        <v>0.601964427645807</v>
      </c>
      <c r="S206" s="3" t="n">
        <f aca="false">SUM(O282:O284)</f>
        <v>0</v>
      </c>
      <c r="T206" s="3" t="n">
        <f aca="false">SUM(P282:P284)</f>
        <v>0</v>
      </c>
      <c r="U206" s="3" t="n">
        <f aca="false">SUM(Q282:Q284)</f>
        <v>0</v>
      </c>
      <c r="V206" s="3" t="n">
        <f aca="false">SUM(R282:R284)</f>
        <v>0</v>
      </c>
    </row>
    <row r="207" customFormat="false" ht="15" hidden="false" customHeight="false" outlineLevel="0" collapsed="false">
      <c r="A207" s="5" t="n">
        <v>42644</v>
      </c>
      <c r="B207" s="6" t="n">
        <v>105.196903719673</v>
      </c>
      <c r="C207" s="9" t="n">
        <v>241.729</v>
      </c>
      <c r="D207" s="1" t="n">
        <v>3432.043</v>
      </c>
      <c r="E207" s="1" t="n">
        <v>2839.303</v>
      </c>
      <c r="F207" s="1" t="n">
        <v>-592.74</v>
      </c>
      <c r="G207" s="1" t="n">
        <v>1618.42923</v>
      </c>
      <c r="H207" s="1" t="n">
        <v>1393.1</v>
      </c>
      <c r="I207" s="3" t="n">
        <f aca="false">G207-H207</f>
        <v>225.32923</v>
      </c>
      <c r="J207" s="1" t="n">
        <v>49.89</v>
      </c>
      <c r="K207" s="1" t="n">
        <v>91.2437436353449</v>
      </c>
      <c r="L207" s="3" t="n">
        <f aca="false">B207*54.2221/B$137</f>
        <v>66.2524858154552</v>
      </c>
      <c r="M207" s="3" t="n">
        <f aca="false">C207*100/C$137</f>
        <v>110.288394417348</v>
      </c>
      <c r="N207" s="3" t="n">
        <f aca="false">L207/M207</f>
        <v>0.600720376477197</v>
      </c>
    </row>
    <row r="208" customFormat="false" ht="15" hidden="false" customHeight="false" outlineLevel="0" collapsed="false">
      <c r="A208" s="5" t="n">
        <v>42675</v>
      </c>
      <c r="B208" s="6" t="n">
        <v>105.044113509139</v>
      </c>
      <c r="C208" s="9" t="n">
        <v>241.353</v>
      </c>
      <c r="D208" s="1" t="n">
        <v>3727.644</v>
      </c>
      <c r="E208" s="1" t="n">
        <v>2648.494</v>
      </c>
      <c r="F208" s="1" t="n">
        <v>-1079.15</v>
      </c>
      <c r="G208" s="1" t="n">
        <v>1431.804</v>
      </c>
      <c r="H208" s="1" t="n">
        <v>1471.6</v>
      </c>
      <c r="I208" s="3" t="n">
        <f aca="false">G208-H208</f>
        <v>-39.7959999999998</v>
      </c>
      <c r="J208" s="1" t="n">
        <v>45.57</v>
      </c>
      <c r="K208" s="1" t="n">
        <v>91.1112192899794</v>
      </c>
      <c r="L208" s="3" t="n">
        <f aca="false">B208*54.2221/B$137</f>
        <v>66.1562593021435</v>
      </c>
      <c r="M208" s="3" t="n">
        <f aca="false">C208*100/C$137</f>
        <v>110.116845135711</v>
      </c>
      <c r="N208" s="3" t="n">
        <f aca="false">L208/M208</f>
        <v>0.600782370949792</v>
      </c>
    </row>
    <row r="209" customFormat="false" ht="15" hidden="false" customHeight="false" outlineLevel="0" collapsed="false">
      <c r="A209" s="5" t="n">
        <v>42705</v>
      </c>
      <c r="B209" s="6" t="n">
        <v>105.210912990011</v>
      </c>
      <c r="C209" s="9" t="n">
        <v>241.432</v>
      </c>
      <c r="D209" s="1" t="n">
        <v>6576.46</v>
      </c>
      <c r="E209" s="1" t="n">
        <v>4514.55</v>
      </c>
      <c r="F209" s="1" t="n">
        <v>-2061.91</v>
      </c>
      <c r="G209" s="1" t="n">
        <v>1587.4631</v>
      </c>
      <c r="H209" s="1" t="n">
        <v>1501.8</v>
      </c>
      <c r="I209" s="3" t="n">
        <f aca="false">G209-H209</f>
        <v>85.6631000000002</v>
      </c>
      <c r="J209" s="1" t="n">
        <v>52.01</v>
      </c>
      <c r="K209" s="1" t="n">
        <v>91.2558947370031</v>
      </c>
      <c r="L209" s="3" t="n">
        <f aca="false">B209*54.2221/B$137</f>
        <v>66.2613087841123</v>
      </c>
      <c r="M209" s="3" t="n">
        <f aca="false">C209*100/C$137</f>
        <v>110.152888734778</v>
      </c>
      <c r="N209" s="3" t="n">
        <f aca="false">L209/M209</f>
        <v>0.601539456161277</v>
      </c>
      <c r="S209" s="3" t="n">
        <f aca="false">SUM(O285:O287)</f>
        <v>0</v>
      </c>
      <c r="T209" s="3" t="n">
        <f aca="false">SUM(P285:P287)</f>
        <v>0</v>
      </c>
      <c r="U209" s="3" t="n">
        <f aca="false">SUM(Q285:Q287)</f>
        <v>0</v>
      </c>
      <c r="V209" s="3" t="n">
        <f aca="false">SUM(R285:R287)</f>
        <v>0</v>
      </c>
    </row>
    <row r="210" customFormat="false" ht="15" hidden="false" customHeight="false" outlineLevel="0" collapsed="false">
      <c r="A210" s="5" t="n">
        <v>42736</v>
      </c>
      <c r="B210" s="6" t="n">
        <v>105.303290776828</v>
      </c>
      <c r="C210" s="9" t="n">
        <v>242.839</v>
      </c>
      <c r="D210" s="1" t="n">
        <v>2384.17</v>
      </c>
      <c r="E210" s="1" t="n">
        <v>3175.42</v>
      </c>
      <c r="F210" s="1" t="n">
        <v>791.25</v>
      </c>
      <c r="G210" s="1" t="n">
        <v>1575.67497</v>
      </c>
      <c r="H210" s="1" t="n">
        <v>1482.8</v>
      </c>
      <c r="I210" s="3" t="n">
        <f aca="false">G210-H210</f>
        <v>92.8749700000003</v>
      </c>
      <c r="J210" s="1" t="n">
        <v>52.51</v>
      </c>
      <c r="K210" s="1" t="n">
        <v>91.3360196722429</v>
      </c>
      <c r="L210" s="3" t="n">
        <f aca="false">B210*54.2221/B$137</f>
        <v>66.3194878539744</v>
      </c>
      <c r="M210" s="3" t="n">
        <f aca="false">C210*100/C$137</f>
        <v>110.79482979665</v>
      </c>
      <c r="N210" s="3" t="n">
        <f aca="false">L210/M210</f>
        <v>0.598579265618218</v>
      </c>
    </row>
    <row r="211" customFormat="false" ht="15" hidden="false" customHeight="false" outlineLevel="0" collapsed="false">
      <c r="A211" s="5" t="n">
        <v>42767</v>
      </c>
      <c r="B211" s="6" t="n">
        <v>105.512043743952</v>
      </c>
      <c r="C211" s="9" t="n">
        <v>243.603</v>
      </c>
      <c r="D211" s="1" t="n">
        <v>3051.439</v>
      </c>
      <c r="E211" s="1" t="n">
        <v>2519.879</v>
      </c>
      <c r="F211" s="1" t="n">
        <v>-531.56</v>
      </c>
      <c r="G211" s="1" t="n">
        <v>1574.0062</v>
      </c>
      <c r="H211" s="1" t="n">
        <v>1233.9</v>
      </c>
      <c r="I211" s="3" t="n">
        <f aca="false">G211-H211</f>
        <v>340.1062</v>
      </c>
      <c r="J211" s="1" t="n">
        <v>53.4</v>
      </c>
      <c r="K211" s="1" t="n">
        <v>91.5170839578047</v>
      </c>
      <c r="L211" s="3" t="n">
        <f aca="false">B211*54.2221/B$137</f>
        <v>66.4509594325498</v>
      </c>
      <c r="M211" s="3" t="n">
        <f aca="false">C211*100/C$137</f>
        <v>111.143403336999</v>
      </c>
      <c r="N211" s="3" t="n">
        <f aca="false">L211/M211</f>
        <v>0.597884871592995</v>
      </c>
    </row>
    <row r="212" customFormat="false" ht="15" hidden="false" customHeight="false" outlineLevel="0" collapsed="false">
      <c r="A212" s="5" t="n">
        <v>42795</v>
      </c>
      <c r="B212" s="6" t="n">
        <v>105.657326701866</v>
      </c>
      <c r="C212" s="9" t="n">
        <v>243.801</v>
      </c>
      <c r="D212" s="1" t="n">
        <v>4110.445</v>
      </c>
      <c r="E212" s="1" t="n">
        <v>3292.805</v>
      </c>
      <c r="F212" s="1" t="n">
        <v>-817.64</v>
      </c>
      <c r="G212" s="1" t="n">
        <v>1550.91888</v>
      </c>
      <c r="H212" s="1" t="n">
        <v>1529.2</v>
      </c>
      <c r="I212" s="3" t="n">
        <f aca="false">G212-H212</f>
        <v>21.7188799999999</v>
      </c>
      <c r="J212" s="1" t="n">
        <v>49.58</v>
      </c>
      <c r="K212" s="1" t="n">
        <v>91.6430968013177</v>
      </c>
      <c r="L212" s="3" t="n">
        <f aca="false">B212*54.2221/B$137</f>
        <v>66.5424579155666</v>
      </c>
      <c r="M212" s="3" t="n">
        <f aca="false">C212*100/C$137</f>
        <v>111.233740458712</v>
      </c>
      <c r="N212" s="3" t="n">
        <f aca="false">L212/M212</f>
        <v>0.598221885204572</v>
      </c>
      <c r="S212" s="3" t="n">
        <f aca="false">SUM(O288:O290)</f>
        <v>0</v>
      </c>
      <c r="T212" s="3" t="n">
        <f aca="false">SUM(P288:P290)</f>
        <v>0</v>
      </c>
      <c r="U212" s="3" t="n">
        <f aca="false">SUM(Q288:Q290)</f>
        <v>0</v>
      </c>
      <c r="V212" s="3" t="n">
        <f aca="false">SUM(R288:R290)</f>
        <v>0</v>
      </c>
    </row>
    <row r="213" customFormat="false" ht="15" hidden="false" customHeight="false" outlineLevel="0" collapsed="false">
      <c r="A213" s="5" t="n">
        <v>42826</v>
      </c>
      <c r="B213" s="6" t="n">
        <v>106.116769150315</v>
      </c>
      <c r="C213" s="9" t="n">
        <v>244.524</v>
      </c>
      <c r="D213" s="1" t="n">
        <v>3409.834</v>
      </c>
      <c r="E213" s="1" t="n">
        <v>3389.414</v>
      </c>
      <c r="F213" s="1" t="n">
        <v>-20.42</v>
      </c>
      <c r="G213" s="1" t="n">
        <v>1570.43141</v>
      </c>
      <c r="H213" s="1" t="n">
        <v>1371.8</v>
      </c>
      <c r="I213" s="3" t="n">
        <f aca="false">G213-H213</f>
        <v>198.63141</v>
      </c>
      <c r="J213" s="1" t="n">
        <v>51.06</v>
      </c>
      <c r="K213" s="1" t="n">
        <v>92.041599490078</v>
      </c>
      <c r="L213" s="3" t="n">
        <f aca="false">B213*54.2221/B$137</f>
        <v>66.8318124804125</v>
      </c>
      <c r="M213" s="3" t="n">
        <f aca="false">C213*100/C$137</f>
        <v>111.563607827392</v>
      </c>
      <c r="N213" s="3" t="n">
        <f aca="false">L213/M213</f>
        <v>0.599046712291813</v>
      </c>
    </row>
    <row r="214" customFormat="false" ht="15" hidden="false" customHeight="false" outlineLevel="0" collapsed="false">
      <c r="A214" s="5" t="n">
        <v>42856</v>
      </c>
      <c r="B214" s="6" t="n">
        <v>106.165206789217</v>
      </c>
      <c r="C214" s="9" t="n">
        <v>244.733</v>
      </c>
      <c r="D214" s="1" t="n">
        <v>3169.874</v>
      </c>
      <c r="E214" s="1" t="n">
        <v>3154.864</v>
      </c>
      <c r="F214" s="1" t="n">
        <v>-15.01</v>
      </c>
      <c r="G214" s="1" t="n">
        <v>1594.65174</v>
      </c>
      <c r="H214" s="1" t="n">
        <v>1514.2</v>
      </c>
      <c r="I214" s="3" t="n">
        <f aca="false">G214-H214</f>
        <v>80.45174</v>
      </c>
      <c r="J214" s="1" t="n">
        <v>48.5</v>
      </c>
      <c r="K214" s="1" t="n">
        <v>92.0836124329492</v>
      </c>
      <c r="L214" s="3" t="n">
        <f aca="false">B214*54.2221/B$137</f>
        <v>66.8623182640502</v>
      </c>
      <c r="M214" s="3" t="n">
        <f aca="false">C214*100/C$137</f>
        <v>111.65896367809</v>
      </c>
      <c r="N214" s="3" t="n">
        <f aca="false">L214/M214</f>
        <v>0.598808336219319</v>
      </c>
    </row>
    <row r="215" customFormat="false" ht="15" hidden="false" customHeight="false" outlineLevel="0" collapsed="false">
      <c r="A215" s="5" t="n">
        <v>42887</v>
      </c>
      <c r="B215" s="6" t="n">
        <v>105.552737269789</v>
      </c>
      <c r="C215" s="9" t="n">
        <v>244.955</v>
      </c>
      <c r="D215" s="1" t="n">
        <v>3354.599</v>
      </c>
      <c r="E215" s="1" t="n">
        <v>2962.979</v>
      </c>
      <c r="F215" s="1" t="n">
        <v>-391.62</v>
      </c>
      <c r="G215" s="1" t="n">
        <v>1488.01689</v>
      </c>
      <c r="H215" s="1" t="n">
        <v>1671.7</v>
      </c>
      <c r="I215" s="3" t="n">
        <f aca="false">G215-H215</f>
        <v>-183.68311</v>
      </c>
      <c r="J215" s="1" t="n">
        <v>45.17</v>
      </c>
      <c r="K215" s="1" t="n">
        <v>91.552379955195</v>
      </c>
      <c r="L215" s="3" t="n">
        <f aca="false">B215*54.2221/B$137</f>
        <v>66.4765880123655</v>
      </c>
      <c r="M215" s="3" t="n">
        <f aca="false">C215*100/C$137</f>
        <v>111.76025075395</v>
      </c>
      <c r="N215" s="3" t="n">
        <f aca="false">L215/M215</f>
        <v>0.59481423461298</v>
      </c>
      <c r="S215" s="3" t="n">
        <f aca="false">SUM(O291:O293)</f>
        <v>0</v>
      </c>
      <c r="T215" s="3" t="n">
        <f aca="false">SUM(P291:P293)</f>
        <v>0</v>
      </c>
      <c r="U215" s="3" t="n">
        <f aca="false">SUM(Q291:Q293)</f>
        <v>0</v>
      </c>
      <c r="V215" s="3" t="n">
        <f aca="false">SUM(R291:R293)</f>
        <v>0</v>
      </c>
    </row>
    <row r="216" customFormat="false" ht="15" hidden="false" customHeight="false" outlineLevel="0" collapsed="false">
      <c r="A216" s="5" t="n">
        <v>42917</v>
      </c>
      <c r="B216" s="6" t="n">
        <v>105.404367166834</v>
      </c>
      <c r="C216" s="9" t="n">
        <v>244.786</v>
      </c>
      <c r="D216" s="1" t="n">
        <v>2962.621</v>
      </c>
      <c r="E216" s="1" t="n">
        <v>3153.191</v>
      </c>
      <c r="F216" s="1" t="n">
        <v>190.57</v>
      </c>
      <c r="G216" s="1" t="n">
        <v>1576.15536</v>
      </c>
      <c r="H216" s="1" t="n">
        <v>1545.6</v>
      </c>
      <c r="I216" s="3" t="n">
        <f aca="false">G216-H216</f>
        <v>30.5553600000001</v>
      </c>
      <c r="J216" s="1" t="n">
        <v>46.65</v>
      </c>
      <c r="K216" s="1" t="n">
        <v>91.4236894409451</v>
      </c>
      <c r="L216" s="3" t="n">
        <f aca="false">B216*54.2221/B$137</f>
        <v>66.3831452607836</v>
      </c>
      <c r="M216" s="3" t="n">
        <f aca="false">C216*100/C$137</f>
        <v>111.683144826831</v>
      </c>
      <c r="N216" s="3" t="n">
        <f aca="false">L216/M216</f>
        <v>0.594388216446745</v>
      </c>
    </row>
    <row r="217" customFormat="false" ht="15" hidden="false" customHeight="false" outlineLevel="0" collapsed="false">
      <c r="A217" s="5" t="n">
        <v>42948</v>
      </c>
      <c r="B217" s="6" t="n">
        <v>105.41688937022</v>
      </c>
      <c r="C217" s="9" t="n">
        <v>245.519</v>
      </c>
      <c r="D217" s="1" t="n">
        <v>3326.232</v>
      </c>
      <c r="E217" s="1" t="n">
        <v>2886.172</v>
      </c>
      <c r="F217" s="1" t="n">
        <v>-440.06</v>
      </c>
      <c r="G217" s="1" t="n">
        <v>1441.21993</v>
      </c>
      <c r="H217" s="1" t="n">
        <v>1762.4</v>
      </c>
      <c r="I217" s="3" t="n">
        <f aca="false">G217-H217</f>
        <v>-321.18007</v>
      </c>
      <c r="J217" s="1" t="n">
        <v>48.03</v>
      </c>
      <c r="K217" s="1" t="n">
        <v>91.4345507179894</v>
      </c>
      <c r="L217" s="3" t="n">
        <f aca="false">B217*54.2221/B$137</f>
        <v>66.3910316820837</v>
      </c>
      <c r="M217" s="3" t="n">
        <f aca="false">C217*100/C$137</f>
        <v>112.017574676406</v>
      </c>
      <c r="N217" s="3" t="n">
        <f aca="false">L217/M217</f>
        <v>0.592684066530388</v>
      </c>
    </row>
    <row r="218" customFormat="false" ht="15" hidden="false" customHeight="false" outlineLevel="0" collapsed="false">
      <c r="A218" s="5" t="n">
        <v>42979</v>
      </c>
      <c r="B218" s="6" t="n">
        <v>105.25558454379</v>
      </c>
      <c r="C218" s="9" t="n">
        <v>246.819</v>
      </c>
      <c r="D218" s="1" t="n">
        <v>3312.666</v>
      </c>
      <c r="E218" s="1" t="n">
        <v>2810.026</v>
      </c>
      <c r="F218" s="1" t="n">
        <v>-502.64</v>
      </c>
      <c r="G218" s="1" t="n">
        <v>1614.59013</v>
      </c>
      <c r="H218" s="1" t="n">
        <v>1676.1</v>
      </c>
      <c r="I218" s="3" t="n">
        <f aca="false">G218-H218</f>
        <v>-61.5098700000001</v>
      </c>
      <c r="J218" s="1" t="n">
        <v>49.83</v>
      </c>
      <c r="K218" s="1" t="n">
        <v>91.2946411226544</v>
      </c>
      <c r="L218" s="3" t="n">
        <f aca="false">B218*54.2221/B$137</f>
        <v>66.289442706105</v>
      </c>
      <c r="M218" s="3" t="n">
        <f aca="false">C218*100/C$137</f>
        <v>112.610697192706</v>
      </c>
      <c r="N218" s="3" t="n">
        <f aca="false">L218/M218</f>
        <v>0.588660263710711</v>
      </c>
      <c r="S218" s="3" t="n">
        <f aca="false">SUM(O294:O296)</f>
        <v>0</v>
      </c>
      <c r="T218" s="3" t="n">
        <f aca="false">SUM(P294:P296)</f>
        <v>0</v>
      </c>
      <c r="U218" s="3" t="n">
        <f aca="false">SUM(Q294:Q296)</f>
        <v>0</v>
      </c>
      <c r="V218" s="3" t="n">
        <f aca="false">SUM(R294:R296)</f>
        <v>0</v>
      </c>
    </row>
    <row r="219" customFormat="false" ht="15" hidden="false" customHeight="false" outlineLevel="0" collapsed="false">
      <c r="A219" s="5" t="n">
        <v>43009</v>
      </c>
      <c r="B219" s="6" t="n">
        <v>105.1034891541</v>
      </c>
      <c r="C219" s="9" t="n">
        <v>246.663</v>
      </c>
      <c r="D219" s="1" t="n">
        <v>3167.432</v>
      </c>
      <c r="E219" s="1" t="n">
        <v>2872.882</v>
      </c>
      <c r="F219" s="1" t="n">
        <v>-294.55</v>
      </c>
      <c r="G219" s="1" t="n">
        <v>1686.57527</v>
      </c>
      <c r="H219" s="1" t="n">
        <v>1747.5</v>
      </c>
      <c r="I219" s="3" t="n">
        <f aca="false">G219-H219</f>
        <v>-60.92473</v>
      </c>
      <c r="J219" s="1" t="n">
        <v>51.56</v>
      </c>
      <c r="K219" s="1" t="n">
        <v>91.162719438134</v>
      </c>
      <c r="L219" s="3" t="n">
        <f aca="false">B219*54.2221/B$137</f>
        <v>66.1936537874985</v>
      </c>
      <c r="M219" s="3" t="n">
        <f aca="false">C219*100/C$137</f>
        <v>112.53952249075</v>
      </c>
      <c r="N219" s="3" t="n">
        <f aca="false">L219/M219</f>
        <v>0.588181399054181</v>
      </c>
    </row>
    <row r="220" customFormat="false" ht="15" hidden="false" customHeight="false" outlineLevel="0" collapsed="false">
      <c r="A220" s="5" t="n">
        <v>43040</v>
      </c>
      <c r="B220" s="6" t="n">
        <v>104.815862278346</v>
      </c>
      <c r="C220" s="9" t="n">
        <v>246.669</v>
      </c>
      <c r="D220" s="1" t="n">
        <v>3619.189</v>
      </c>
      <c r="E220" s="1" t="n">
        <v>3189.799</v>
      </c>
      <c r="F220" s="1" t="n">
        <v>-429.39</v>
      </c>
      <c r="G220" s="1" t="n">
        <v>1641.59442</v>
      </c>
      <c r="H220" s="1" t="n">
        <v>1800.5</v>
      </c>
      <c r="I220" s="3" t="n">
        <f aca="false">G220-H220</f>
        <v>-158.90558</v>
      </c>
      <c r="J220" s="1" t="n">
        <v>56.65</v>
      </c>
      <c r="K220" s="1" t="n">
        <v>90.9132429612991</v>
      </c>
      <c r="L220" s="3" t="n">
        <f aca="false">B220*54.2221/B$137</f>
        <v>66.0125078142595</v>
      </c>
      <c r="M220" s="3" t="n">
        <f aca="false">C220*100/C$137</f>
        <v>112.542259979286</v>
      </c>
      <c r="N220" s="3" t="n">
        <f aca="false">L220/M220</f>
        <v>0.586557510275778</v>
      </c>
    </row>
    <row r="221" customFormat="false" ht="15" hidden="false" customHeight="false" outlineLevel="0" collapsed="false">
      <c r="A221" s="5" t="n">
        <v>43070</v>
      </c>
      <c r="B221" s="6" t="n">
        <v>105.00396255276</v>
      </c>
      <c r="C221" s="9" t="n">
        <v>246.524</v>
      </c>
      <c r="D221" s="1" t="n">
        <v>6515.893</v>
      </c>
      <c r="E221" s="1" t="n">
        <v>4323.973</v>
      </c>
      <c r="F221" s="1" t="n">
        <v>-2191.92</v>
      </c>
      <c r="G221" s="1" t="n">
        <v>1778.51574</v>
      </c>
      <c r="H221" s="1" t="n">
        <v>1697.4</v>
      </c>
      <c r="I221" s="3" t="n">
        <f aca="false">G221-H221</f>
        <v>81.11574</v>
      </c>
      <c r="J221" s="1" t="n">
        <v>57.94</v>
      </c>
      <c r="K221" s="1" t="n">
        <v>91.0763938964456</v>
      </c>
      <c r="L221" s="3" t="n">
        <f aca="false">B221*54.2221/B$137</f>
        <v>66.1309724298694</v>
      </c>
      <c r="M221" s="3" t="n">
        <f aca="false">C221*100/C$137</f>
        <v>112.476104006314</v>
      </c>
      <c r="N221" s="3" t="n">
        <f aca="false">L221/M221</f>
        <v>0.587955753038501</v>
      </c>
    </row>
    <row r="222" customFormat="false" ht="15" hidden="false" customHeight="false" outlineLevel="0" collapsed="false">
      <c r="A222" s="5" t="n">
        <v>43101</v>
      </c>
      <c r="B222" s="6" t="n">
        <v>105.204050176427</v>
      </c>
      <c r="C222" s="9" t="n">
        <v>247.867</v>
      </c>
      <c r="D222" s="1" t="n">
        <v>2470.576</v>
      </c>
      <c r="E222" s="1" t="n">
        <v>3151.506</v>
      </c>
      <c r="F222" s="1" t="n">
        <v>680.93</v>
      </c>
      <c r="G222" s="1" t="n">
        <v>1793.24788</v>
      </c>
      <c r="H222" s="1" t="n">
        <v>1806.6</v>
      </c>
      <c r="I222" s="3" t="n">
        <f aca="false">G222-H222</f>
        <v>-13.35212</v>
      </c>
      <c r="J222" s="1" t="n">
        <v>63.67</v>
      </c>
      <c r="K222" s="1" t="n">
        <v>91.2499421967557</v>
      </c>
      <c r="L222" s="3" t="n">
        <f aca="false">B222*54.2221/B$137</f>
        <v>66.2569866183112</v>
      </c>
      <c r="M222" s="3" t="n">
        <f aca="false">C222*100/C$137</f>
        <v>113.088845190461</v>
      </c>
      <c r="N222" s="3" t="n">
        <f aca="false">L222/M222</f>
        <v>0.585884368230334</v>
      </c>
    </row>
    <row r="223" customFormat="false" ht="15" hidden="false" customHeight="false" outlineLevel="0" collapsed="false">
      <c r="A223" s="5" t="n">
        <v>43132</v>
      </c>
      <c r="B223" s="6" t="n">
        <v>105.365176487928</v>
      </c>
      <c r="C223" s="9" t="n">
        <v>248.991</v>
      </c>
      <c r="D223" s="1" t="n">
        <v>2956.526</v>
      </c>
      <c r="E223" s="1" t="n">
        <v>2622.376</v>
      </c>
      <c r="F223" s="1" t="n">
        <v>-334.15</v>
      </c>
      <c r="G223" s="1" t="n">
        <v>1560.78886</v>
      </c>
      <c r="H223" s="1" t="n">
        <v>1529.3</v>
      </c>
      <c r="I223" s="3" t="n">
        <f aca="false">G223-H223</f>
        <v>31.4888599999999</v>
      </c>
      <c r="J223" s="1" t="n">
        <v>62.17</v>
      </c>
      <c r="K223" s="1" t="n">
        <v>91.3896969551156</v>
      </c>
      <c r="L223" s="3" t="n">
        <f aca="false">B223*54.2221/B$137</f>
        <v>66.3584631664774</v>
      </c>
      <c r="M223" s="3" t="n">
        <f aca="false">C223*100/C$137</f>
        <v>113.601668043015</v>
      </c>
      <c r="N223" s="3" t="n">
        <f aca="false">L223/M223</f>
        <v>0.584132824012328</v>
      </c>
    </row>
    <row r="224" customFormat="false" ht="15" hidden="false" customHeight="false" outlineLevel="0" collapsed="false">
      <c r="A224" s="5" t="n">
        <v>43160</v>
      </c>
      <c r="B224" s="6" t="n">
        <v>105.432295912604</v>
      </c>
      <c r="C224" s="9" t="n">
        <v>249.554</v>
      </c>
      <c r="D224" s="1" t="n">
        <v>3949.529</v>
      </c>
      <c r="E224" s="1" t="n">
        <v>3463.019</v>
      </c>
      <c r="F224" s="1" t="n">
        <v>-486.51</v>
      </c>
      <c r="G224" s="1" t="n">
        <v>1846.7024</v>
      </c>
      <c r="H224" s="1" t="n">
        <v>1672</v>
      </c>
      <c r="I224" s="3" t="n">
        <f aca="false">G224-H224</f>
        <v>174.7024</v>
      </c>
      <c r="J224" s="1" t="n">
        <v>62.76</v>
      </c>
      <c r="K224" s="1" t="n">
        <v>91.4479137596172</v>
      </c>
      <c r="L224" s="3" t="n">
        <f aca="false">B224*54.2221/B$137</f>
        <v>66.400734645713</v>
      </c>
      <c r="M224" s="3" t="n">
        <f aca="false">C224*100/C$137</f>
        <v>113.858535717382</v>
      </c>
      <c r="N224" s="3" t="n">
        <f aca="false">L224/M224</f>
        <v>0.583186269060513</v>
      </c>
    </row>
    <row r="225" customFormat="false" ht="15" hidden="false" customHeight="false" outlineLevel="0" collapsed="false">
      <c r="A225" s="5" t="n">
        <v>43191</v>
      </c>
      <c r="B225" s="6" t="n">
        <v>105.285855505328</v>
      </c>
      <c r="C225" s="9" t="n">
        <v>250.546</v>
      </c>
      <c r="D225" s="1" t="n">
        <v>3520.637</v>
      </c>
      <c r="E225" s="1" t="n">
        <v>3722.447</v>
      </c>
      <c r="F225" s="1" t="n">
        <v>201.81</v>
      </c>
      <c r="G225" s="1" t="n">
        <v>1801.54996</v>
      </c>
      <c r="H225" s="1" t="n">
        <v>1807.2</v>
      </c>
      <c r="I225" s="3" t="n">
        <f aca="false">G225-H225</f>
        <v>-5.65003999999999</v>
      </c>
      <c r="J225" s="1" t="n">
        <v>66.32</v>
      </c>
      <c r="K225" s="1" t="n">
        <v>91.3208969890959</v>
      </c>
      <c r="L225" s="3" t="n">
        <f aca="false">B225*54.2221/B$137</f>
        <v>66.3085072068553</v>
      </c>
      <c r="M225" s="3" t="n">
        <f aca="false">C225*100/C$137</f>
        <v>114.311133822127</v>
      </c>
      <c r="N225" s="3" t="n">
        <f aca="false">L225/M225</f>
        <v>0.580070418250195</v>
      </c>
    </row>
    <row r="226" customFormat="false" ht="15" hidden="false" customHeight="false" outlineLevel="0" collapsed="false">
      <c r="A226" s="5" t="n">
        <v>43221</v>
      </c>
      <c r="B226" s="6" t="n">
        <v>105.093609502236</v>
      </c>
      <c r="C226" s="9" t="n">
        <v>251.588</v>
      </c>
      <c r="D226" s="1" t="n">
        <v>3340.055</v>
      </c>
      <c r="E226" s="1" t="n">
        <v>3461.985</v>
      </c>
      <c r="F226" s="1" t="n">
        <v>121.93</v>
      </c>
      <c r="G226" s="1" t="n">
        <v>1958.44915</v>
      </c>
      <c r="H226" s="1" t="n">
        <v>1992.1</v>
      </c>
      <c r="I226" s="3" t="n">
        <f aca="false">G226-H226</f>
        <v>-33.65085</v>
      </c>
      <c r="J226" s="1" t="n">
        <v>69.98</v>
      </c>
      <c r="K226" s="1" t="n">
        <v>91.154150208527</v>
      </c>
      <c r="L226" s="3" t="n">
        <f aca="false">B226*54.2221/B$137</f>
        <v>66.1874316319801</v>
      </c>
      <c r="M226" s="3" t="n">
        <f aca="false">C226*100/C$137</f>
        <v>114.786544331346</v>
      </c>
      <c r="N226" s="3" t="n">
        <f aca="false">L226/M226</f>
        <v>0.576613156337574</v>
      </c>
    </row>
    <row r="227" customFormat="false" ht="15" hidden="false" customHeight="false" outlineLevel="0" collapsed="false">
      <c r="A227" s="5" t="n">
        <v>43252</v>
      </c>
      <c r="B227" s="6" t="n">
        <v>104.805413816399</v>
      </c>
      <c r="C227" s="9" t="n">
        <v>251.989</v>
      </c>
      <c r="D227" s="1" t="n">
        <v>3594.833</v>
      </c>
      <c r="E227" s="1" t="n">
        <v>3324.983</v>
      </c>
      <c r="F227" s="1" t="n">
        <v>-269.85</v>
      </c>
      <c r="G227" s="1" t="n">
        <v>1765.86378</v>
      </c>
      <c r="H227" s="1" t="n">
        <v>1712.6</v>
      </c>
      <c r="I227" s="3" t="n">
        <f aca="false">G227-H227</f>
        <v>53.2637800000002</v>
      </c>
      <c r="J227" s="1" t="n">
        <v>67.52</v>
      </c>
      <c r="K227" s="1" t="n">
        <v>90.9041803677285</v>
      </c>
      <c r="L227" s="3" t="n">
        <f aca="false">B227*54.2221/B$137</f>
        <v>66.005927424985</v>
      </c>
      <c r="M227" s="3" t="n">
        <f aca="false">C227*100/C$137</f>
        <v>114.96949981522</v>
      </c>
      <c r="N227" s="3" t="n">
        <f aca="false">L227/M227</f>
        <v>0.574116853000757</v>
      </c>
    </row>
    <row r="228" customFormat="false" ht="15" hidden="false" customHeight="false" outlineLevel="0" collapsed="false">
      <c r="A228" s="5" t="n">
        <v>43282</v>
      </c>
      <c r="B228" s="6" t="n">
        <v>104.801098085515</v>
      </c>
      <c r="C228" s="9" t="n">
        <v>252.006</v>
      </c>
      <c r="D228" s="1" t="n">
        <v>3464.213</v>
      </c>
      <c r="E228" s="1" t="n">
        <v>3469.853</v>
      </c>
      <c r="F228" s="1" t="n">
        <v>5.64</v>
      </c>
      <c r="G228" s="1" t="n">
        <v>1910.97669</v>
      </c>
      <c r="H228" s="1" t="n">
        <v>1951.1</v>
      </c>
      <c r="I228" s="3" t="n">
        <f aca="false">G228-H228</f>
        <v>-40.12331</v>
      </c>
      <c r="J228" s="1" t="n">
        <v>70.84</v>
      </c>
      <c r="K228" s="1" t="n">
        <v>90.9004370689388</v>
      </c>
      <c r="L228" s="3" t="n">
        <f aca="false">B228*54.2221/B$137</f>
        <v>66.0032093991776</v>
      </c>
      <c r="M228" s="3" t="n">
        <f aca="false">C228*100/C$137</f>
        <v>114.97725603274</v>
      </c>
      <c r="N228" s="3" t="n">
        <f aca="false">L228/M228</f>
        <v>0.574054484135391</v>
      </c>
    </row>
    <row r="229" customFormat="false" ht="15" hidden="false" customHeight="false" outlineLevel="0" collapsed="false">
      <c r="A229" s="5" t="n">
        <v>43313</v>
      </c>
      <c r="B229" s="6" t="n">
        <v>105.083525023619</v>
      </c>
      <c r="C229" s="9" t="n">
        <v>252.146</v>
      </c>
      <c r="D229" s="1" t="n">
        <v>3508.01</v>
      </c>
      <c r="E229" s="1" t="n">
        <v>3251.44</v>
      </c>
      <c r="F229" s="1" t="n">
        <v>-256.57</v>
      </c>
      <c r="G229" s="1" t="n">
        <v>1816.81008</v>
      </c>
      <c r="H229" s="1" t="n">
        <v>1965.8</v>
      </c>
      <c r="I229" s="3" t="n">
        <f aca="false">G229-H229</f>
        <v>-148.98992</v>
      </c>
      <c r="J229" s="1" t="n">
        <v>67.99</v>
      </c>
      <c r="K229" s="1" t="n">
        <v>91.1454033200822</v>
      </c>
      <c r="L229" s="3" t="n">
        <f aca="false">B229*54.2221/B$137</f>
        <v>66.1810804775937</v>
      </c>
      <c r="M229" s="3" t="n">
        <f aca="false">C229*100/C$137</f>
        <v>115.041130765265</v>
      </c>
      <c r="N229" s="3" t="n">
        <f aca="false">L229/M229</f>
        <v>0.575281901675954</v>
      </c>
    </row>
    <row r="230" customFormat="false" ht="15" hidden="false" customHeight="false" outlineLevel="0" collapsed="false">
      <c r="A230" s="5" t="n">
        <v>43344</v>
      </c>
      <c r="B230" s="6" t="n">
        <v>105.495324910595</v>
      </c>
      <c r="C230" s="9" t="n">
        <v>252.439</v>
      </c>
      <c r="D230" s="1" t="n">
        <v>3870.018</v>
      </c>
      <c r="E230" s="1" t="n">
        <v>3359.378</v>
      </c>
      <c r="F230" s="1" t="n">
        <v>-510.64</v>
      </c>
      <c r="G230" s="1" t="n">
        <v>1831.39393</v>
      </c>
      <c r="H230" s="1" t="n">
        <v>1835.1</v>
      </c>
      <c r="I230" s="3" t="n">
        <f aca="false">G230-H230</f>
        <v>-3.70606999999995</v>
      </c>
      <c r="J230" s="1" t="n">
        <v>70.21</v>
      </c>
      <c r="K230" s="1" t="n">
        <v>91.5025826855167</v>
      </c>
      <c r="L230" s="3" t="n">
        <f aca="false">B230*54.2221/B$137</f>
        <v>66.4404299946038</v>
      </c>
      <c r="M230" s="3" t="n">
        <f aca="false">C230*100/C$137</f>
        <v>115.174811455477</v>
      </c>
      <c r="N230" s="3" t="n">
        <f aca="false">L230/M230</f>
        <v>0.57686597577186</v>
      </c>
    </row>
    <row r="231" customFormat="false" ht="15" hidden="false" customHeight="false" outlineLevel="0" collapsed="false">
      <c r="A231" s="5" t="n">
        <v>43374</v>
      </c>
      <c r="B231" s="6" t="n">
        <v>105.445727281168</v>
      </c>
      <c r="C231" s="9" t="n">
        <v>252.885</v>
      </c>
      <c r="D231" s="1" t="n">
        <v>3523.382</v>
      </c>
      <c r="E231" s="1" t="n">
        <v>3358.142</v>
      </c>
      <c r="F231" s="1" t="n">
        <v>-165.24</v>
      </c>
      <c r="G231" s="1" t="n">
        <v>1976.05669</v>
      </c>
      <c r="H231" s="1" t="n">
        <v>2222.4</v>
      </c>
      <c r="I231" s="3" t="n">
        <f aca="false">G231-H231</f>
        <v>-246.34331</v>
      </c>
      <c r="J231" s="1" t="n">
        <v>70.75</v>
      </c>
      <c r="K231" s="1" t="n">
        <v>91.4595636115296</v>
      </c>
      <c r="L231" s="3" t="n">
        <f aca="false">B231*54.2221/B$137</f>
        <v>66.4091936547127</v>
      </c>
      <c r="M231" s="3" t="n">
        <f aca="false">C231*100/C$137</f>
        <v>115.378298103377</v>
      </c>
      <c r="N231" s="3" t="n">
        <f aca="false">L231/M231</f>
        <v>0.575577857763263</v>
      </c>
    </row>
    <row r="232" customFormat="false" ht="15" hidden="false" customHeight="false" outlineLevel="0" collapsed="false">
      <c r="A232" s="5" t="n">
        <v>43405</v>
      </c>
      <c r="B232" s="6" t="n">
        <v>105.179140431073</v>
      </c>
      <c r="C232" s="9" t="n">
        <v>252.038</v>
      </c>
      <c r="D232" s="1" t="n">
        <v>3443.662</v>
      </c>
      <c r="E232" s="1" t="n">
        <v>3474.112</v>
      </c>
      <c r="F232" s="1" t="n">
        <v>30.45</v>
      </c>
      <c r="G232" s="1" t="n">
        <v>1654.97742</v>
      </c>
      <c r="H232" s="1" t="n">
        <v>1910</v>
      </c>
      <c r="I232" s="3" t="n">
        <f aca="false">G232-H232</f>
        <v>-255.02258</v>
      </c>
      <c r="J232" s="1" t="n">
        <v>56.67</v>
      </c>
      <c r="K232" s="1" t="n">
        <v>91.2283364427957</v>
      </c>
      <c r="L232" s="3" t="n">
        <f aca="false">B232*54.2221/B$137</f>
        <v>66.2412985848008</v>
      </c>
      <c r="M232" s="3" t="n">
        <f aca="false">C232*100/C$137</f>
        <v>114.991855971603</v>
      </c>
      <c r="N232" s="3" t="n">
        <f aca="false">L232/M232</f>
        <v>0.576052086690025</v>
      </c>
    </row>
    <row r="233" customFormat="false" ht="15" hidden="false" customHeight="false" outlineLevel="0" collapsed="false">
      <c r="A233" s="5" t="n">
        <v>43435</v>
      </c>
      <c r="B233" s="6" t="n">
        <v>105.2834519759</v>
      </c>
      <c r="C233" s="9" t="n">
        <v>251.233</v>
      </c>
      <c r="D233" s="1" t="n">
        <v>6421.834</v>
      </c>
      <c r="E233" s="1" t="n">
        <v>4035.054</v>
      </c>
      <c r="F233" s="1" t="n">
        <v>-2386.78</v>
      </c>
      <c r="G233" s="1" t="n">
        <v>1711.16078</v>
      </c>
      <c r="H233" s="1" t="n">
        <v>1701.3</v>
      </c>
      <c r="I233" s="3" t="n">
        <f aca="false">G233-H233</f>
        <v>9.86077999999975</v>
      </c>
      <c r="J233" s="1" t="n">
        <v>48.95</v>
      </c>
      <c r="K233" s="1" t="n">
        <v>91.3188122602191</v>
      </c>
      <c r="L233" s="3" t="n">
        <f aca="false">B233*54.2221/B$137</f>
        <v>66.3069934759973</v>
      </c>
      <c r="M233" s="3" t="n">
        <f aca="false">C233*100/C$137</f>
        <v>114.624576259587</v>
      </c>
      <c r="N233" s="3" t="n">
        <f aca="false">L233/M233</f>
        <v>0.578471001941449</v>
      </c>
    </row>
    <row r="234" customFormat="false" ht="15" hidden="false" customHeight="false" outlineLevel="0" collapsed="false">
      <c r="A234" s="5" t="n">
        <v>43466</v>
      </c>
      <c r="B234" s="6" t="n">
        <v>105.773500350709</v>
      </c>
      <c r="C234" s="9" t="n">
        <v>251.712</v>
      </c>
      <c r="D234" s="1" t="n">
        <v>2903.217</v>
      </c>
      <c r="E234" s="1" t="n">
        <v>3183.127</v>
      </c>
      <c r="F234" s="1" t="n">
        <v>279.91</v>
      </c>
      <c r="G234" s="1" t="n">
        <v>1602.1855</v>
      </c>
      <c r="H234" s="1" t="n">
        <v>1899.4</v>
      </c>
      <c r="I234" s="3" t="n">
        <f aca="false">G234-H234</f>
        <v>-297.2145</v>
      </c>
      <c r="J234" s="1" t="n">
        <v>51.52</v>
      </c>
      <c r="K234" s="1" t="n">
        <v>91.743861351009</v>
      </c>
      <c r="L234" s="3" t="n">
        <f aca="false">B234*54.2221/B$137</f>
        <v>66.6156235007689</v>
      </c>
      <c r="M234" s="3" t="n">
        <f aca="false">C234*100/C$137</f>
        <v>114.843119094439</v>
      </c>
      <c r="N234" s="3" t="n">
        <f aca="false">L234/M234</f>
        <v>0.580057595318261</v>
      </c>
    </row>
    <row r="235" customFormat="false" ht="15" hidden="false" customHeight="false" outlineLevel="0" collapsed="false">
      <c r="A235" s="5" t="n">
        <v>43497</v>
      </c>
      <c r="B235" s="6" t="n">
        <v>105.530911948375</v>
      </c>
      <c r="C235" s="9" t="n">
        <v>252.776</v>
      </c>
      <c r="D235" s="1" t="n">
        <v>3066.325</v>
      </c>
      <c r="E235" s="1" t="n">
        <v>2895.855</v>
      </c>
      <c r="F235" s="1" t="n">
        <v>-170.47</v>
      </c>
      <c r="G235" s="1" t="n">
        <v>1695.15594</v>
      </c>
      <c r="H235" s="1" t="n">
        <v>1641.5</v>
      </c>
      <c r="I235" s="3" t="n">
        <f aca="false">G235-H235</f>
        <v>53.6559399999999</v>
      </c>
      <c r="J235" s="1" t="n">
        <v>54.95</v>
      </c>
      <c r="K235" s="1" t="n">
        <v>91.5334495117935</v>
      </c>
      <c r="L235" s="3" t="n">
        <f aca="false">B235*54.2221/B$137</f>
        <v>66.4628425336842</v>
      </c>
      <c r="M235" s="3" t="n">
        <f aca="false">C235*100/C$137</f>
        <v>115.328567061625</v>
      </c>
      <c r="N235" s="3" t="n">
        <f aca="false">L235/M235</f>
        <v>0.576291236655789</v>
      </c>
    </row>
    <row r="236" customFormat="false" ht="15" hidden="false" customHeight="false" outlineLevel="0" collapsed="false">
      <c r="A236" s="5" t="n">
        <v>43525</v>
      </c>
      <c r="B236" s="6" t="n">
        <v>105.307760531158</v>
      </c>
      <c r="C236" s="9" t="n">
        <v>254.202</v>
      </c>
      <c r="D236" s="1" t="n">
        <v>3578.075</v>
      </c>
      <c r="E236" s="1" t="n">
        <v>3232.555</v>
      </c>
      <c r="F236" s="1" t="n">
        <v>-345.52</v>
      </c>
      <c r="G236" s="1" t="n">
        <v>1947.29433</v>
      </c>
      <c r="H236" s="1" t="n">
        <v>1746.9</v>
      </c>
      <c r="I236" s="3" t="n">
        <f aca="false">G236-H236</f>
        <v>200.39433</v>
      </c>
      <c r="J236" s="1" t="n">
        <v>58.15</v>
      </c>
      <c r="K236" s="1" t="n">
        <v>91.3398965650387</v>
      </c>
      <c r="L236" s="3" t="n">
        <f aca="false">B236*54.2221/B$137</f>
        <v>66.3223028829805</v>
      </c>
      <c r="M236" s="3" t="n">
        <f aca="false">C236*100/C$137</f>
        <v>115.979176837197</v>
      </c>
      <c r="N236" s="3" t="n">
        <f aca="false">L236/M236</f>
        <v>0.571846642575148</v>
      </c>
    </row>
    <row r="237" customFormat="false" ht="15" hidden="false" customHeight="false" outlineLevel="0" collapsed="false">
      <c r="A237" s="5" t="n">
        <v>43556</v>
      </c>
      <c r="B237" s="6" t="n">
        <v>105.488432161687</v>
      </c>
      <c r="C237" s="9" t="n">
        <v>255.548</v>
      </c>
      <c r="D237" s="1" t="n">
        <v>3604.179</v>
      </c>
      <c r="E237" s="1" t="n">
        <v>3919.579</v>
      </c>
      <c r="F237" s="1" t="n">
        <v>315.4</v>
      </c>
      <c r="G237" s="1" t="n">
        <v>1988.97978</v>
      </c>
      <c r="H237" s="1" t="n">
        <v>1903.1</v>
      </c>
      <c r="I237" s="3" t="n">
        <f aca="false">G237-H237</f>
        <v>85.8797800000004</v>
      </c>
      <c r="J237" s="1" t="n">
        <v>63.87</v>
      </c>
      <c r="K237" s="1" t="n">
        <v>91.4966041805221</v>
      </c>
      <c r="L237" s="3" t="n">
        <f aca="false">B237*54.2221/B$137</f>
        <v>66.4360889756849</v>
      </c>
      <c r="M237" s="3" t="n">
        <f aca="false">C237*100/C$137</f>
        <v>116.593286765612</v>
      </c>
      <c r="N237" s="3" t="n">
        <f aca="false">L237/M237</f>
        <v>0.569810585314761</v>
      </c>
    </row>
    <row r="238" customFormat="false" ht="15" hidden="false" customHeight="false" outlineLevel="0" collapsed="false">
      <c r="A238" s="5" t="n">
        <v>43586</v>
      </c>
      <c r="B238" s="6" t="n">
        <v>105.483993620977</v>
      </c>
      <c r="C238" s="9" t="n">
        <v>256.092</v>
      </c>
      <c r="D238" s="1" t="n">
        <v>3639.597</v>
      </c>
      <c r="E238" s="1" t="n">
        <v>3774.747</v>
      </c>
      <c r="F238" s="1" t="n">
        <v>135.15</v>
      </c>
      <c r="G238" s="1" t="n">
        <v>1989.62716</v>
      </c>
      <c r="H238" s="1" t="n">
        <v>1992</v>
      </c>
      <c r="I238" s="3" t="n">
        <f aca="false">G238-H238</f>
        <v>-2.37283999999977</v>
      </c>
      <c r="J238" s="1" t="n">
        <v>60.84</v>
      </c>
      <c r="K238" s="1" t="n">
        <v>91.4927543612182</v>
      </c>
      <c r="L238" s="3" t="n">
        <f aca="false">B238*54.2221/B$137</f>
        <v>66.4332936048609</v>
      </c>
      <c r="M238" s="3" t="n">
        <f aca="false">C238*100/C$137</f>
        <v>116.841485726279</v>
      </c>
      <c r="N238" s="3" t="n">
        <f aca="false">L238/M238</f>
        <v>0.568576248341214</v>
      </c>
    </row>
    <row r="239" customFormat="false" ht="15" hidden="false" customHeight="false" outlineLevel="0" collapsed="false">
      <c r="A239" s="5" t="n">
        <v>43617</v>
      </c>
      <c r="B239" s="6" t="n">
        <v>105.446249456763</v>
      </c>
      <c r="C239" s="9" t="n">
        <v>256.143</v>
      </c>
      <c r="D239" s="1" t="n">
        <v>3325.899</v>
      </c>
      <c r="E239" s="1" t="n">
        <v>3026.959</v>
      </c>
      <c r="F239" s="1" t="n">
        <v>-298.94</v>
      </c>
      <c r="G239" s="1" t="n">
        <v>1784.5706</v>
      </c>
      <c r="H239" s="1" t="n">
        <v>1709.7</v>
      </c>
      <c r="I239" s="3" t="n">
        <f aca="false">G239-H239</f>
        <v>74.8705999999997</v>
      </c>
      <c r="J239" s="1" t="n">
        <v>54.68</v>
      </c>
      <c r="K239" s="1" t="n">
        <v>91.4600165265342</v>
      </c>
      <c r="L239" s="3" t="n">
        <f aca="false">B239*54.2221/B$137</f>
        <v>66.4095225183008</v>
      </c>
      <c r="M239" s="3" t="n">
        <f aca="false">C239*100/C$137</f>
        <v>116.864754378841</v>
      </c>
      <c r="N239" s="3" t="n">
        <f aca="false">L239/M239</f>
        <v>0.568259633721736</v>
      </c>
    </row>
    <row r="240" customFormat="false" ht="15" hidden="false" customHeight="false" outlineLevel="0" collapsed="false">
      <c r="A240" s="5" t="n">
        <v>43647</v>
      </c>
      <c r="B240" s="6" t="n">
        <v>105.542558039632</v>
      </c>
      <c r="C240" s="9" t="n">
        <v>256.571</v>
      </c>
      <c r="D240" s="1" t="n">
        <v>3651.483</v>
      </c>
      <c r="E240" s="1" t="n">
        <v>3248.353</v>
      </c>
      <c r="F240" s="1" t="n">
        <v>-403.13</v>
      </c>
      <c r="G240" s="1" t="n">
        <v>1981.76568</v>
      </c>
      <c r="H240" s="1" t="n">
        <v>1876.4</v>
      </c>
      <c r="I240" s="3" t="n">
        <f aca="false">G240-H240</f>
        <v>105.36568</v>
      </c>
      <c r="J240" s="1" t="n">
        <v>57.52</v>
      </c>
      <c r="K240" s="1" t="n">
        <v>91.5435508829118</v>
      </c>
      <c r="L240" s="3" t="n">
        <f aca="false">B240*54.2221/B$137</f>
        <v>66.4701771839306</v>
      </c>
      <c r="M240" s="3" t="n">
        <f aca="false">C240*100/C$137</f>
        <v>117.06002856113</v>
      </c>
      <c r="N240" s="3" t="n">
        <f aca="false">L240/M240</f>
        <v>0.567829839108735</v>
      </c>
    </row>
    <row r="241" customFormat="false" ht="15" hidden="false" customHeight="false" outlineLevel="0" collapsed="false">
      <c r="A241" s="5" t="n">
        <v>43678</v>
      </c>
      <c r="B241" s="6" t="n">
        <v>105.432642629271</v>
      </c>
      <c r="C241" s="9" t="n">
        <v>256.558</v>
      </c>
      <c r="D241" s="1" t="n">
        <v>3392.699</v>
      </c>
      <c r="E241" s="1" t="n">
        <v>3423.159</v>
      </c>
      <c r="F241" s="1" t="n">
        <v>30.46</v>
      </c>
      <c r="G241" s="1" t="n">
        <v>1931.6044</v>
      </c>
      <c r="H241" s="1" t="n">
        <v>1820.4</v>
      </c>
      <c r="I241" s="3" t="n">
        <f aca="false">G241-H241</f>
        <v>111.2044</v>
      </c>
      <c r="J241" s="1" t="n">
        <v>54.84</v>
      </c>
      <c r="K241" s="1" t="n">
        <v>91.4482144883038</v>
      </c>
      <c r="L241" s="3" t="n">
        <f aca="false">B241*54.2221/B$137</f>
        <v>66.4009530061424</v>
      </c>
      <c r="M241" s="3" t="n">
        <f aca="false">C241*100/C$137</f>
        <v>117.054097335967</v>
      </c>
      <c r="N241" s="3" t="n">
        <f aca="false">L241/M241</f>
        <v>0.567267225303179</v>
      </c>
    </row>
    <row r="242" customFormat="false" ht="15" hidden="false" customHeight="false" outlineLevel="0" collapsed="false">
      <c r="A242" s="5" t="n">
        <v>43709</v>
      </c>
      <c r="B242" s="6" t="n">
        <v>105.420031464935</v>
      </c>
      <c r="C242" s="9" t="n">
        <v>256.759</v>
      </c>
      <c r="D242" s="1" t="n">
        <v>3498.722</v>
      </c>
      <c r="E242" s="1" t="n">
        <v>3069.872</v>
      </c>
      <c r="F242" s="1" t="n">
        <v>-428.85</v>
      </c>
      <c r="G242" s="1" t="n">
        <v>1768.10493</v>
      </c>
      <c r="H242" s="1" t="n">
        <v>1706.2</v>
      </c>
      <c r="I242" s="3" t="n">
        <f aca="false">G242-H242</f>
        <v>61.9049300000002</v>
      </c>
      <c r="J242" s="1" t="n">
        <v>56.95</v>
      </c>
      <c r="K242" s="1" t="n">
        <v>91.4372760499574</v>
      </c>
      <c r="L242" s="3" t="n">
        <f aca="false">B242*54.2221/B$137</f>
        <v>66.3930105576796</v>
      </c>
      <c r="M242" s="3" t="n">
        <f aca="false">C242*100/C$137</f>
        <v>117.145803201949</v>
      </c>
      <c r="N242" s="3" t="n">
        <f aca="false">L242/M242</f>
        <v>0.566755348829901</v>
      </c>
    </row>
    <row r="243" customFormat="false" ht="15" hidden="false" customHeight="false" outlineLevel="0" collapsed="false">
      <c r="A243" s="5" t="n">
        <v>43739</v>
      </c>
      <c r="B243" s="6" t="n">
        <v>105.968981459124</v>
      </c>
      <c r="C243" s="9" t="n">
        <v>257.346</v>
      </c>
      <c r="D243" s="1" t="n">
        <v>3359.481</v>
      </c>
      <c r="E243" s="1" t="n">
        <v>3197.121</v>
      </c>
      <c r="F243" s="1" t="n">
        <v>-162.36</v>
      </c>
      <c r="G243" s="1" t="n">
        <v>1741.89555</v>
      </c>
      <c r="H243" s="1" t="n">
        <v>1918.4</v>
      </c>
      <c r="I243" s="3" t="n">
        <f aca="false">G243-H243</f>
        <v>-176.50445</v>
      </c>
      <c r="J243" s="1" t="n">
        <v>53.98</v>
      </c>
      <c r="K243" s="1" t="n">
        <v>91.9134141373656</v>
      </c>
      <c r="L243" s="3" t="n">
        <f aca="false">B243*54.2221/B$137</f>
        <v>66.7387365288571</v>
      </c>
      <c r="M243" s="3" t="n">
        <f aca="false">C243*100/C$137</f>
        <v>117.413620830463</v>
      </c>
      <c r="N243" s="3" t="n">
        <f aca="false">L243/M243</f>
        <v>0.568407106916695</v>
      </c>
    </row>
    <row r="244" customFormat="false" ht="15" hidden="false" customHeight="false" outlineLevel="0" collapsed="false">
      <c r="A244" s="5" t="n">
        <v>43770</v>
      </c>
      <c r="B244" s="6" t="n">
        <v>105.223281122662</v>
      </c>
      <c r="C244" s="9" t="n">
        <v>257.208</v>
      </c>
      <c r="D244" s="1" t="n">
        <v>3408.821</v>
      </c>
      <c r="E244" s="1" t="n">
        <v>3364.571</v>
      </c>
      <c r="F244" s="1" t="n">
        <v>-44.25</v>
      </c>
      <c r="G244" s="1" t="n">
        <v>1878.06429</v>
      </c>
      <c r="H244" s="1" t="n">
        <v>1669.8</v>
      </c>
      <c r="I244" s="3" t="n">
        <f aca="false">G244-H244</f>
        <v>208.26429</v>
      </c>
      <c r="J244" s="1" t="n">
        <v>57.06</v>
      </c>
      <c r="K244" s="1" t="n">
        <v>91.2666223790243</v>
      </c>
      <c r="L244" s="3" t="n">
        <f aca="false">B244*54.2221/B$137</f>
        <v>66.2690981724311</v>
      </c>
      <c r="M244" s="3" t="n">
        <f aca="false">C244*100/C$137</f>
        <v>117.350658594117</v>
      </c>
      <c r="N244" s="3" t="n">
        <f aca="false">L244/M244</f>
        <v>0.564710066107403</v>
      </c>
    </row>
    <row r="245" s="15" customFormat="true" ht="15" hidden="false" customHeight="false" outlineLevel="0" collapsed="false">
      <c r="A245" s="14" t="n">
        <v>43800</v>
      </c>
      <c r="B245" s="6" t="n">
        <v>105.214666947918</v>
      </c>
      <c r="C245" s="9" t="n">
        <v>256.974</v>
      </c>
      <c r="D245" s="15" t="n">
        <v>5413.908</v>
      </c>
      <c r="E245" s="15" t="n">
        <v>3054.688</v>
      </c>
      <c r="F245" s="15" t="n">
        <v>-2359.22</v>
      </c>
      <c r="G245" s="15" t="n">
        <v>2020.13092</v>
      </c>
      <c r="H245" s="15" t="n">
        <v>1625.3</v>
      </c>
      <c r="I245" s="15" t="n">
        <f aca="false">G245-H245</f>
        <v>394.83092</v>
      </c>
      <c r="J245" s="15" t="n">
        <v>59.8</v>
      </c>
      <c r="K245" s="15" t="n">
        <v>91.2591507755443</v>
      </c>
      <c r="L245" s="3" t="n">
        <f aca="false">B245*54.2221/B$137</f>
        <v>66.2636730080982</v>
      </c>
      <c r="M245" s="3" t="n">
        <f aca="false">C245*100/C$137</f>
        <v>117.243896541183</v>
      </c>
      <c r="N245" s="3" t="n">
        <f aca="false">L245/M245</f>
        <v>0.565178017474217</v>
      </c>
      <c r="XFD245" s="1"/>
    </row>
    <row r="246" customFormat="false" ht="15" hidden="false" customHeight="false" outlineLevel="0" collapsed="false">
      <c r="A246" s="5" t="n">
        <v>43831</v>
      </c>
      <c r="B246" s="6" t="n">
        <v>105.453517612939</v>
      </c>
      <c r="C246" s="9" t="n">
        <v>257.971</v>
      </c>
      <c r="D246" s="1" t="n">
        <v>3006.29</v>
      </c>
      <c r="E246" s="1" t="n">
        <v>3589.28</v>
      </c>
      <c r="F246" s="1" t="n">
        <v>582.99</v>
      </c>
      <c r="G246" s="1" t="n">
        <v>1951.45265</v>
      </c>
      <c r="H246" s="1" t="n">
        <v>1784.611060877</v>
      </c>
      <c r="I246" s="3" t="n">
        <f aca="false">G246-H246</f>
        <v>166.841589123</v>
      </c>
      <c r="J246" s="1" t="n">
        <v>57.52</v>
      </c>
      <c r="K246" s="1" t="n">
        <v>91.4663206453376</v>
      </c>
      <c r="L246" s="3" t="n">
        <f aca="false">B246*54.2221/B$137</f>
        <v>66.4140999668464</v>
      </c>
      <c r="M246" s="3" t="n">
        <f aca="false">C246*100/C$137</f>
        <v>117.698775886376</v>
      </c>
      <c r="N246" s="3" t="n">
        <f aca="false">L246/M246</f>
        <v>0.564271798637577</v>
      </c>
    </row>
    <row r="247" customFormat="false" ht="15" hidden="false" customHeight="false" outlineLevel="0" collapsed="false">
      <c r="A247" s="5" t="n">
        <v>43862</v>
      </c>
      <c r="B247" s="6" t="n">
        <v>105.290675551604</v>
      </c>
      <c r="C247" s="9" t="n">
        <v>258.678</v>
      </c>
      <c r="D247" s="1" t="n">
        <v>3022.984</v>
      </c>
      <c r="E247" s="1" t="n">
        <v>3004.564</v>
      </c>
      <c r="F247" s="1" t="n">
        <v>-18.42</v>
      </c>
      <c r="G247" s="1" t="n">
        <v>1859.7099</v>
      </c>
      <c r="H247" s="1" t="n">
        <v>1480.26040649</v>
      </c>
      <c r="I247" s="3" t="n">
        <f aca="false">G247-H247</f>
        <v>379.44949351</v>
      </c>
      <c r="J247" s="1" t="n">
        <v>50.53</v>
      </c>
      <c r="K247" s="1" t="n">
        <v>91.3250777116378</v>
      </c>
      <c r="L247" s="3" t="n">
        <f aca="false">B247*54.2221/B$137</f>
        <v>66.3115428479838</v>
      </c>
      <c r="M247" s="3" t="n">
        <f aca="false">C247*100/C$137</f>
        <v>118.021343285625</v>
      </c>
      <c r="N247" s="3" t="n">
        <f aca="false">L247/M247</f>
        <v>0.561860600819484</v>
      </c>
    </row>
    <row r="248" customFormat="false" ht="15" hidden="false" customHeight="false" outlineLevel="0" collapsed="false">
      <c r="A248" s="5" t="n">
        <v>43891</v>
      </c>
      <c r="B248" s="6" t="n">
        <v>105.498562598122</v>
      </c>
      <c r="C248" s="9" t="n">
        <v>258.115</v>
      </c>
      <c r="D248" s="1" t="n">
        <v>3399.099</v>
      </c>
      <c r="E248" s="1" t="n">
        <v>3496.129</v>
      </c>
      <c r="F248" s="1" t="n">
        <v>97.03</v>
      </c>
      <c r="G248" s="1" t="n">
        <v>1641.67576</v>
      </c>
      <c r="H248" s="1" t="n">
        <v>1438.272968148</v>
      </c>
      <c r="I248" s="3" t="n">
        <f aca="false">G248-H248</f>
        <v>203.402791852</v>
      </c>
      <c r="J248" s="1" t="n">
        <v>29.88</v>
      </c>
      <c r="K248" s="1" t="n">
        <v>91.5053909310096</v>
      </c>
      <c r="L248" s="3" t="n">
        <f aca="false">B248*54.2221/B$137</f>
        <v>66.4424690740768</v>
      </c>
      <c r="M248" s="3" t="n">
        <f aca="false">C248*100/C$137</f>
        <v>117.764475611258</v>
      </c>
      <c r="N248" s="3" t="n">
        <f aca="false">L248/M248</f>
        <v>0.564197893543075</v>
      </c>
    </row>
    <row r="249" customFormat="false" ht="15" hidden="false" customHeight="false" outlineLevel="0" collapsed="false">
      <c r="A249" s="5" t="n">
        <v>43922</v>
      </c>
      <c r="B249" s="6" t="n">
        <v>106.556317848736</v>
      </c>
      <c r="C249" s="9" t="n">
        <v>256.389</v>
      </c>
      <c r="D249" s="1" t="n">
        <v>2888.328</v>
      </c>
      <c r="E249" s="1" t="n">
        <v>2647.018</v>
      </c>
      <c r="F249" s="1" t="n">
        <v>-241.31</v>
      </c>
      <c r="G249" s="1" t="n">
        <v>1105.24698</v>
      </c>
      <c r="H249" s="1" t="n">
        <v>1087.172066109</v>
      </c>
      <c r="I249" s="3" t="n">
        <f aca="false">G249-H249</f>
        <v>18.0749138909998</v>
      </c>
      <c r="J249" s="1" t="n">
        <v>16.52</v>
      </c>
      <c r="K249" s="1" t="n">
        <v>92.4228471060806</v>
      </c>
      <c r="L249" s="3" t="n">
        <f aca="false">B249*54.2221/B$137</f>
        <v>67.1086380606115</v>
      </c>
      <c r="M249" s="3" t="n">
        <f aca="false">C249*100/C$137</f>
        <v>116.976991408848</v>
      </c>
      <c r="N249" s="3" t="n">
        <f aca="false">L249/M249</f>
        <v>0.573690922055422</v>
      </c>
    </row>
    <row r="250" customFormat="false" ht="15" hidden="false" customHeight="false" outlineLevel="0" collapsed="false">
      <c r="A250" s="5" t="n">
        <v>43952</v>
      </c>
      <c r="B250" s="6" t="n">
        <v>106.279288371097</v>
      </c>
      <c r="C250" s="9" t="n">
        <v>256.394</v>
      </c>
      <c r="D250" s="1" t="n">
        <v>2706.489</v>
      </c>
      <c r="E250" s="1" t="n">
        <v>1782.189</v>
      </c>
      <c r="F250" s="1" t="n">
        <v>-924.3</v>
      </c>
      <c r="G250" s="1" t="n">
        <v>1448.1608</v>
      </c>
      <c r="H250" s="1" t="n">
        <v>1174.750270064</v>
      </c>
      <c r="I250" s="3" t="n">
        <f aca="false">G250-H250</f>
        <v>273.410529936</v>
      </c>
      <c r="J250" s="1" t="n">
        <v>28.56</v>
      </c>
      <c r="K250" s="1" t="n">
        <v>92.1825624043128</v>
      </c>
      <c r="L250" s="3" t="n">
        <f aca="false">B250*54.2221/B$137</f>
        <v>66.9341662759031</v>
      </c>
      <c r="M250" s="3" t="n">
        <f aca="false">C250*100/C$137</f>
        <v>116.979272649296</v>
      </c>
      <c r="N250" s="3" t="n">
        <f aca="false">L250/M250</f>
        <v>0.572188258312837</v>
      </c>
    </row>
    <row r="251" customFormat="false" ht="15" hidden="false" customHeight="false" outlineLevel="0" collapsed="false">
      <c r="A251" s="5" t="n">
        <v>43983</v>
      </c>
      <c r="B251" s="6" t="n">
        <v>105.620553724443</v>
      </c>
      <c r="C251" s="9" t="n">
        <v>257.797</v>
      </c>
      <c r="D251" s="1" t="n">
        <v>2972.859</v>
      </c>
      <c r="E251" s="1" t="n">
        <v>2041.089</v>
      </c>
      <c r="F251" s="1" t="n">
        <v>-931.77</v>
      </c>
      <c r="G251" s="1" t="n">
        <v>1636.94899</v>
      </c>
      <c r="H251" s="1" t="n">
        <v>1237.156740342</v>
      </c>
      <c r="I251" s="3" t="n">
        <f aca="false">G251-H251</f>
        <v>399.792249658</v>
      </c>
      <c r="J251" s="1" t="n">
        <v>38.3</v>
      </c>
      <c r="K251" s="1" t="n">
        <v>91.6112013366605</v>
      </c>
      <c r="L251" s="3" t="n">
        <f aca="false">B251*54.2221/B$137</f>
        <v>66.5192984776086</v>
      </c>
      <c r="M251" s="3" t="n">
        <f aca="false">C251*100/C$137</f>
        <v>117.61938871881</v>
      </c>
      <c r="N251" s="3" t="n">
        <f aca="false">L251/M251</f>
        <v>0.565547051401831</v>
      </c>
    </row>
    <row r="252" customFormat="false" ht="15" hidden="false" customHeight="false" outlineLevel="0" collapsed="false">
      <c r="A252" s="5" t="n">
        <v>44013</v>
      </c>
      <c r="B252" s="6" t="n">
        <v>104.97346998607</v>
      </c>
      <c r="C252" s="9" t="n">
        <v>259.101</v>
      </c>
      <c r="D252" s="1" t="n">
        <v>3033.004</v>
      </c>
      <c r="E252" s="1" t="n">
        <v>2269.834</v>
      </c>
      <c r="F252" s="1" t="n">
        <v>-763.17</v>
      </c>
      <c r="G252" s="1" t="n">
        <v>1605.19031</v>
      </c>
      <c r="H252" s="1" t="n">
        <v>1352.476938055</v>
      </c>
      <c r="I252" s="3" t="n">
        <f aca="false">G252-H252</f>
        <v>252.713371945</v>
      </c>
      <c r="J252" s="1" t="n">
        <v>40.75</v>
      </c>
      <c r="K252" s="1" t="n">
        <v>91.049945818228</v>
      </c>
      <c r="L252" s="3" t="n">
        <f aca="false">B252*54.2221/B$137</f>
        <v>66.1117683632985</v>
      </c>
      <c r="M252" s="3" t="n">
        <f aca="false">C252*100/C$137</f>
        <v>118.214336227467</v>
      </c>
      <c r="N252" s="3" t="n">
        <f aca="false">L252/M252</f>
        <v>0.559253390689322</v>
      </c>
    </row>
    <row r="253" customFormat="false" ht="15" hidden="false" customHeight="false" outlineLevel="0" collapsed="false">
      <c r="A253" s="5" t="n">
        <v>44044</v>
      </c>
      <c r="B253" s="6" t="n">
        <v>104.633513657926</v>
      </c>
      <c r="C253" s="9" t="n">
        <v>259.918</v>
      </c>
      <c r="D253" s="1" t="n">
        <v>3283.225</v>
      </c>
      <c r="E253" s="1" t="n">
        <v>2388.555</v>
      </c>
      <c r="F253" s="1" t="n">
        <v>-894.67</v>
      </c>
      <c r="G253" s="1" t="n">
        <v>1787.46779</v>
      </c>
      <c r="H253" s="1" t="n">
        <v>1345.815614798</v>
      </c>
      <c r="I253" s="3" t="n">
        <f aca="false">G253-H253</f>
        <v>441.652175202</v>
      </c>
      <c r="J253" s="1" t="n">
        <v>42.36</v>
      </c>
      <c r="K253" s="1" t="n">
        <v>90.7550807893569</v>
      </c>
      <c r="L253" s="3" t="n">
        <f aca="false">B253*54.2221/B$137</f>
        <v>65.897665561677</v>
      </c>
      <c r="M253" s="3" t="n">
        <f aca="false">C253*100/C$137</f>
        <v>118.587090916557</v>
      </c>
      <c r="N253" s="3" t="n">
        <f aca="false">L253/M253</f>
        <v>0.555690042249587</v>
      </c>
    </row>
    <row r="254" customFormat="false" ht="15" hidden="false" customHeight="false" outlineLevel="0" collapsed="false">
      <c r="A254" s="5" t="n">
        <v>44075</v>
      </c>
      <c r="B254" s="6" t="n">
        <v>104.46970372361</v>
      </c>
      <c r="C254" s="9" t="n">
        <v>260.28</v>
      </c>
      <c r="D254" s="1" t="n">
        <v>2709.606</v>
      </c>
      <c r="E254" s="1" t="n">
        <v>2971.206</v>
      </c>
      <c r="F254" s="1" t="n">
        <v>261.6</v>
      </c>
      <c r="G254" s="1" t="n">
        <v>1757.94366</v>
      </c>
      <c r="H254" s="1" t="n">
        <v>1348.899687694</v>
      </c>
      <c r="I254" s="3" t="n">
        <f aca="false">G254-H254</f>
        <v>409.043972306</v>
      </c>
      <c r="J254" s="1" t="n">
        <v>39.6</v>
      </c>
      <c r="K254" s="1" t="n">
        <v>90.6129983599016</v>
      </c>
      <c r="L254" s="3" t="n">
        <f aca="false">B254*54.2221/B$137</f>
        <v>65.7944988812333</v>
      </c>
      <c r="M254" s="3" t="n">
        <f aca="false">C254*100/C$137</f>
        <v>118.752252724942</v>
      </c>
      <c r="N254" s="3" t="n">
        <f aca="false">L254/M254</f>
        <v>0.554048427473868</v>
      </c>
    </row>
    <row r="255" customFormat="false" ht="15" hidden="false" customHeight="false" outlineLevel="0" collapsed="false">
      <c r="A255" s="5" t="n">
        <v>44105</v>
      </c>
      <c r="B255" s="6" t="n">
        <v>104.271965054021</v>
      </c>
      <c r="C255" s="9" t="n">
        <v>260.388</v>
      </c>
      <c r="D255" s="1" t="n">
        <v>3163.353</v>
      </c>
      <c r="E255" s="1" t="n">
        <v>2624.473</v>
      </c>
      <c r="F255" s="1" t="n">
        <v>-538.88</v>
      </c>
      <c r="G255" s="1" t="n">
        <v>1799.97609</v>
      </c>
      <c r="H255" s="1" t="n">
        <v>1470.452849906</v>
      </c>
      <c r="I255" s="3" t="n">
        <f aca="false">G255-H255</f>
        <v>329.523240094</v>
      </c>
      <c r="J255" s="1" t="n">
        <v>39.53</v>
      </c>
      <c r="K255" s="1" t="n">
        <v>90.4414874519109</v>
      </c>
      <c r="L255" s="3" t="n">
        <f aca="false">B255*54.2221/B$137</f>
        <v>65.669964052366</v>
      </c>
      <c r="M255" s="3" t="n">
        <f aca="false">C255*100/C$137</f>
        <v>118.801527518604</v>
      </c>
      <c r="N255" s="3" t="n">
        <f aca="false">L255/M255</f>
        <v>0.552770367721766</v>
      </c>
    </row>
    <row r="256" customFormat="false" ht="15" hidden="false" customHeight="false" outlineLevel="0" collapsed="false">
      <c r="A256" s="5" t="n">
        <v>44136</v>
      </c>
      <c r="B256" s="6" t="n">
        <v>104.262857518503</v>
      </c>
      <c r="C256" s="9" t="n">
        <v>260.229</v>
      </c>
      <c r="D256" s="1" t="n">
        <v>3124.227</v>
      </c>
      <c r="E256" s="1" t="n">
        <v>2796.547</v>
      </c>
      <c r="F256" s="1" t="n">
        <v>-327.68</v>
      </c>
      <c r="G256" s="1" t="n">
        <v>1939.13847</v>
      </c>
      <c r="H256" s="1" t="n">
        <v>1520.379031252</v>
      </c>
      <c r="I256" s="3" t="n">
        <f aca="false">G256-H256</f>
        <v>418.759438748</v>
      </c>
      <c r="J256" s="1" t="n">
        <v>41.1</v>
      </c>
      <c r="K256" s="1" t="n">
        <v>90.4335879262922</v>
      </c>
      <c r="L256" s="3" t="n">
        <f aca="false">B256*54.2221/B$137</f>
        <v>65.6642281718754</v>
      </c>
      <c r="M256" s="3" t="n">
        <f aca="false">C256*100/C$137</f>
        <v>118.728984072379</v>
      </c>
      <c r="N256" s="3" t="n">
        <f aca="false">L256/M256</f>
        <v>0.553059799887156</v>
      </c>
    </row>
    <row r="257" customFormat="false" ht="15" hidden="false" customHeight="false" outlineLevel="0" collapsed="false">
      <c r="A257" s="5" t="n">
        <v>44166</v>
      </c>
      <c r="B257" s="6" t="n">
        <v>104.233025480214</v>
      </c>
      <c r="C257" s="9" t="n">
        <v>260.474</v>
      </c>
      <c r="D257" s="1" t="n">
        <v>5313.451</v>
      </c>
      <c r="E257" s="1" t="n">
        <v>3481.181</v>
      </c>
      <c r="F257" s="1" t="n">
        <v>-1832.27</v>
      </c>
      <c r="G257" s="1" t="n">
        <v>1822.45001</v>
      </c>
      <c r="H257" s="1" t="n">
        <v>1707.626779418</v>
      </c>
      <c r="I257" s="3" t="n">
        <f aca="false">G257-H257</f>
        <v>114.823230582</v>
      </c>
      <c r="J257" s="1" t="n">
        <v>47.05</v>
      </c>
      <c r="K257" s="1" t="n">
        <v>90.4077127649755</v>
      </c>
      <c r="L257" s="3" t="n">
        <f aca="false">B257*54.2221/B$137</f>
        <v>65.6454401028001</v>
      </c>
      <c r="M257" s="3" t="n">
        <f aca="false">C257*100/C$137</f>
        <v>118.840764854297</v>
      </c>
      <c r="N257" s="3" t="n">
        <f aca="false">L257/M257</f>
        <v>0.552381501274278</v>
      </c>
    </row>
    <row r="258" customFormat="false" ht="15" hidden="false" customHeight="false" outlineLevel="0" collapsed="false">
      <c r="A258" s="5" t="n">
        <v>44197</v>
      </c>
      <c r="B258" s="6" t="n">
        <v>104.354097393414</v>
      </c>
      <c r="C258" s="9" t="n">
        <v>261.582</v>
      </c>
      <c r="D258" s="1" t="n">
        <v>2461.78164984987</v>
      </c>
      <c r="E258" s="1" t="n">
        <v>2899.182</v>
      </c>
      <c r="F258" s="1" t="n">
        <v>437.4</v>
      </c>
      <c r="G258" s="1" t="n">
        <v>1814.89183</v>
      </c>
      <c r="H258" s="1" t="n">
        <v>1594.675679627</v>
      </c>
      <c r="I258" s="3" t="n">
        <f aca="false">G258-H258</f>
        <v>220.216150373</v>
      </c>
      <c r="J258" s="1" t="n">
        <v>52.1</v>
      </c>
      <c r="K258" s="1" t="n">
        <v>90.5127258805603</v>
      </c>
      <c r="L258" s="3" t="n">
        <f aca="false">B258*54.2221/B$137</f>
        <v>65.7216905904887</v>
      </c>
      <c r="M258" s="3" t="n">
        <f aca="false">C258*100/C$137</f>
        <v>119.34628773742</v>
      </c>
      <c r="N258" s="3" t="n">
        <f aca="false">L258/M258</f>
        <v>0.550680644001985</v>
      </c>
    </row>
    <row r="259" customFormat="false" ht="15" hidden="false" customHeight="false" outlineLevel="0" collapsed="false">
      <c r="A259" s="5" t="n">
        <v>44228</v>
      </c>
      <c r="B259" s="6" t="n">
        <v>104.442113491474</v>
      </c>
      <c r="C259" s="9" t="n">
        <v>263.014</v>
      </c>
      <c r="D259" s="1" t="n">
        <v>2548.54621076487</v>
      </c>
      <c r="E259" s="1" t="n">
        <v>2512.036</v>
      </c>
      <c r="F259" s="1" t="n">
        <v>-36.51</v>
      </c>
      <c r="G259" s="1" t="n">
        <v>1953.82509</v>
      </c>
      <c r="H259" s="1" t="n">
        <v>1532.725479727</v>
      </c>
      <c r="I259" s="3" t="n">
        <f aca="false">G259-H259</f>
        <v>421.099610273</v>
      </c>
      <c r="J259" s="1" t="n">
        <v>59.06</v>
      </c>
      <c r="K259" s="1" t="n">
        <v>90.5890676549204</v>
      </c>
      <c r="L259" s="3" t="n">
        <f aca="false">B259*54.2221/B$137</f>
        <v>65.7771226905035</v>
      </c>
      <c r="M259" s="3" t="n">
        <f aca="false">C259*100/C$137</f>
        <v>119.999635001528</v>
      </c>
      <c r="N259" s="3" t="n">
        <f aca="false">L259/M259</f>
        <v>0.548144356352964</v>
      </c>
    </row>
    <row r="260" customFormat="false" ht="15" hidden="false" customHeight="false" outlineLevel="0" collapsed="false">
      <c r="A260" s="5" t="n">
        <v>44256</v>
      </c>
      <c r="B260" s="6" t="n">
        <v>104.625301136874</v>
      </c>
      <c r="C260" s="9" t="n">
        <v>264.877</v>
      </c>
      <c r="D260" s="1" t="n">
        <v>3660.14377263827</v>
      </c>
      <c r="G260" s="1" t="n">
        <v>2092.60223</v>
      </c>
      <c r="H260" s="1" t="n">
        <v>1907.743170172</v>
      </c>
      <c r="I260" s="3" t="n">
        <f aca="false">G260-H260</f>
        <v>184.859059828</v>
      </c>
      <c r="J260" s="1" t="n">
        <v>62.35</v>
      </c>
      <c r="K260" s="1" t="n">
        <v>90.7479575648233</v>
      </c>
      <c r="L260" s="3" t="n">
        <f aca="false">B260*54.2221/B$137</f>
        <v>65.8924933568379</v>
      </c>
      <c r="M260" s="3" t="n">
        <f aca="false">C260*100/C$137</f>
        <v>120.849625192195</v>
      </c>
      <c r="N260" s="3" t="n">
        <f aca="false">L260/M260</f>
        <v>0.545243671646023</v>
      </c>
    </row>
    <row r="261" customFormat="false" ht="15" hidden="false" customHeight="false" outlineLevel="0" collapsed="false">
      <c r="A261" s="5" t="n">
        <v>44287</v>
      </c>
      <c r="B261" s="6" t="n">
        <v>104.990644223591</v>
      </c>
      <c r="C261" s="9" t="n">
        <v>267.054</v>
      </c>
      <c r="D261" s="1" t="n">
        <v>2986.42220732152</v>
      </c>
      <c r="G261" s="1" t="n">
        <v>2231.05684</v>
      </c>
      <c r="H261" s="1" t="n">
        <v>1809.45038472</v>
      </c>
      <c r="I261" s="3" t="n">
        <f aca="false">G261-H261</f>
        <v>421.60645528</v>
      </c>
      <c r="J261" s="1" t="n">
        <v>61.71</v>
      </c>
      <c r="K261" s="1" t="n">
        <v>91.0648420905519</v>
      </c>
      <c r="L261" s="3" t="n">
        <f aca="false">B261*54.2221/B$137</f>
        <v>66.1225846125176</v>
      </c>
      <c r="M261" s="3" t="n">
        <f aca="false">C261*100/C$137</f>
        <v>121.842877282951</v>
      </c>
      <c r="N261" s="3" t="n">
        <f aca="false">L261/M261</f>
        <v>0.542687320646274</v>
      </c>
    </row>
    <row r="262" customFormat="false" ht="15" hidden="false" customHeight="false" outlineLevel="0" collapsed="false">
      <c r="A262" s="5" t="n">
        <v>44317</v>
      </c>
      <c r="B262" s="6" t="n">
        <v>105.078144192329</v>
      </c>
      <c r="C262" s="9" t="n">
        <v>269.195</v>
      </c>
      <c r="D262" s="1" t="n">
        <v>3322.99828091573</v>
      </c>
      <c r="G262" s="1" t="n">
        <v>2220.92369</v>
      </c>
      <c r="H262" s="1" t="n">
        <v>1769.369394761</v>
      </c>
      <c r="I262" s="3" t="n">
        <f aca="false">G262-H262</f>
        <v>451.554295239</v>
      </c>
      <c r="J262" s="1" t="n">
        <v>65.18</v>
      </c>
      <c r="K262" s="1" t="n">
        <v>91.1407361942122</v>
      </c>
      <c r="L262" s="3" t="n">
        <f aca="false">B262*54.2221/B$137</f>
        <v>66.1776916568572</v>
      </c>
      <c r="M262" s="3" t="n">
        <f aca="false">C262*100/C$137</f>
        <v>122.819704442488</v>
      </c>
      <c r="N262" s="3" t="n">
        <f aca="false">L262/M262</f>
        <v>0.538819825021204</v>
      </c>
    </row>
    <row r="263" customFormat="false" ht="15" hidden="false" customHeight="false" outlineLevel="0" collapsed="false">
      <c r="A263" s="5" t="n">
        <v>44348</v>
      </c>
      <c r="B263" s="6" t="n">
        <v>104.893612561898</v>
      </c>
      <c r="C263" s="9" t="n">
        <v>271.696</v>
      </c>
      <c r="D263" s="1" t="n">
        <v>3241.77178907043</v>
      </c>
      <c r="G263" s="1" t="n">
        <v>2272.9301</v>
      </c>
      <c r="H263" s="1" t="n">
        <v>1941.215040321</v>
      </c>
      <c r="I263" s="3" t="n">
        <f aca="false">G263-H263</f>
        <v>331.715059679</v>
      </c>
      <c r="J263" s="1" t="n">
        <v>71.38</v>
      </c>
      <c r="K263" s="1" t="n">
        <v>90.9806805634441</v>
      </c>
      <c r="L263" s="3" t="n">
        <f aca="false">B263*54.2221/B$137</f>
        <v>66.0614745554467</v>
      </c>
      <c r="M263" s="3" t="n">
        <f aca="false">C263*100/C$137</f>
        <v>123.96078091423</v>
      </c>
      <c r="N263" s="3" t="n">
        <f aca="false">L263/M263</f>
        <v>0.532922381322811</v>
      </c>
    </row>
    <row r="264" customFormat="false" ht="15" hidden="false" customHeight="false" outlineLevel="0" collapsed="false">
      <c r="A264" s="5" t="n">
        <v>44378</v>
      </c>
      <c r="B264" s="6" t="n">
        <v>105.445571730997</v>
      </c>
      <c r="C264" s="9" t="n">
        <v>273.003</v>
      </c>
      <c r="D264" s="1" t="n">
        <v>3296.04517283464</v>
      </c>
      <c r="G264" s="1" t="n">
        <v>2277.1173</v>
      </c>
      <c r="H264" s="1" t="n">
        <v>2182.896587718</v>
      </c>
      <c r="I264" s="3" t="n">
        <f aca="false">G264-H264</f>
        <v>94.220712282</v>
      </c>
      <c r="J264" s="1" t="n">
        <v>72.46</v>
      </c>
      <c r="K264" s="1" t="n">
        <v>91.4594286933007</v>
      </c>
      <c r="L264" s="3" t="n">
        <f aca="false">B264*54.2221/B$137</f>
        <v>66.4090956899901</v>
      </c>
      <c r="M264" s="3" t="n">
        <f aca="false">C264*100/C$137</f>
        <v>124.557097167156</v>
      </c>
      <c r="N264" s="3" t="n">
        <f aca="false">L264/M264</f>
        <v>0.53316187676459</v>
      </c>
    </row>
    <row r="265" customFormat="false" ht="15" hidden="false" customHeight="false" outlineLevel="0" collapsed="false">
      <c r="A265" s="5" t="n">
        <v>44409</v>
      </c>
      <c r="B265" s="6" t="n">
        <v>105.567350745434</v>
      </c>
      <c r="C265" s="9" t="n">
        <v>273.567</v>
      </c>
      <c r="D265" s="1" t="n">
        <v>3429.9152012223</v>
      </c>
      <c r="G265" s="1" t="n">
        <v>2245.068</v>
      </c>
      <c r="H265" s="1" t="n">
        <v>2249.605175828</v>
      </c>
      <c r="I265" s="3" t="n">
        <f aca="false">G265-H265</f>
        <v>-4.53717582799982</v>
      </c>
      <c r="J265" s="1" t="n">
        <v>67.73</v>
      </c>
      <c r="K265" s="1" t="n">
        <v>91.5650551212708</v>
      </c>
      <c r="L265" s="3" t="n">
        <f aca="false">B265*54.2221/B$137</f>
        <v>66.4857915065141</v>
      </c>
      <c r="M265" s="3" t="n">
        <f aca="false">C265*100/C$137</f>
        <v>124.814421089612</v>
      </c>
      <c r="N265" s="3" t="n">
        <f aca="false">L265/M265</f>
        <v>0.532677161229471</v>
      </c>
    </row>
    <row r="266" customFormat="false" ht="15" hidden="false" customHeight="false" outlineLevel="0" collapsed="false">
      <c r="A266" s="5" t="n">
        <v>44440</v>
      </c>
      <c r="B266" s="6" t="n">
        <v>105.583909272285</v>
      </c>
      <c r="C266" s="9" t="n">
        <v>274.31</v>
      </c>
      <c r="D266" s="1" t="n">
        <v>3056.49460222924</v>
      </c>
      <c r="G266" s="1" t="n">
        <v>2302.40229</v>
      </c>
      <c r="H266" s="1" t="n">
        <v>2097.123540352</v>
      </c>
      <c r="I266" s="3" t="n">
        <f aca="false">G266-H266</f>
        <v>205.278749648</v>
      </c>
      <c r="J266" s="1" t="n">
        <v>71.56</v>
      </c>
      <c r="K266" s="1" t="n">
        <v>91.5794173498689</v>
      </c>
      <c r="L266" s="3" t="n">
        <f aca="false">B266*54.2221/B$137</f>
        <v>66.4962199842218</v>
      </c>
      <c r="M266" s="3" t="n">
        <f aca="false">C266*100/C$137</f>
        <v>125.153413420081</v>
      </c>
      <c r="N266" s="3" t="n">
        <f aca="false">L266/M266</f>
        <v>0.531317669786802</v>
      </c>
    </row>
    <row r="267" customFormat="false" ht="15" hidden="false" customHeight="false" outlineLevel="0" collapsed="false">
      <c r="A267" s="5" t="n">
        <v>44470</v>
      </c>
      <c r="B267" s="6" t="n">
        <v>105.803738133349</v>
      </c>
      <c r="C267" s="9" t="n">
        <v>276.589</v>
      </c>
      <c r="D267" s="1" t="n">
        <v>3098.76748051843</v>
      </c>
      <c r="G267" s="1" t="n">
        <v>2577.65444</v>
      </c>
      <c r="H267" s="1" t="n">
        <v>2103.893040795</v>
      </c>
      <c r="I267" s="3" t="n">
        <f aca="false">G267-H267</f>
        <v>473.761399205</v>
      </c>
      <c r="J267" s="1" t="n">
        <v>81.32</v>
      </c>
      <c r="K267" s="1" t="n">
        <v>91.770088439353</v>
      </c>
      <c r="L267" s="3" t="n">
        <f aca="false">B267*54.2221/B$137</f>
        <v>66.6346671056151</v>
      </c>
      <c r="M267" s="3" t="n">
        <f aca="false">C267*100/C$137</f>
        <v>126.193202815963</v>
      </c>
      <c r="N267" s="3" t="n">
        <f aca="false">L267/M267</f>
        <v>0.528036895955429</v>
      </c>
    </row>
    <row r="268" customFormat="false" ht="15" hidden="false" customHeight="false" outlineLevel="0" collapsed="false">
      <c r="A268" s="5" t="n">
        <v>44501</v>
      </c>
      <c r="B268" s="6" t="n">
        <v>106.184139015753</v>
      </c>
      <c r="C268" s="9" t="n">
        <v>277.948</v>
      </c>
      <c r="D268" s="1" t="n">
        <v>3341.11559329414</v>
      </c>
      <c r="G268" s="1" t="n">
        <v>2608.25523</v>
      </c>
      <c r="H268" s="1" t="n">
        <v>2296.462629829</v>
      </c>
      <c r="I268" s="3" t="n">
        <f aca="false">G268-H268</f>
        <v>311.792600171</v>
      </c>
      <c r="J268" s="1" t="n">
        <v>79.18</v>
      </c>
      <c r="K268" s="1" t="n">
        <v>92.1000335172538</v>
      </c>
      <c r="L268" s="3" t="n">
        <f aca="false">B268*54.2221/B$137</f>
        <v>66.8742416859926</v>
      </c>
      <c r="M268" s="3" t="n">
        <f aca="false">C268*100/C$137</f>
        <v>126.813243969541</v>
      </c>
      <c r="N268" s="3" t="n">
        <f aca="false">L268/M268</f>
        <v>0.527344302477232</v>
      </c>
    </row>
    <row r="269" customFormat="false" ht="15" hidden="false" customHeight="false" outlineLevel="0" collapsed="false">
      <c r="A269" s="5" t="n">
        <v>44531</v>
      </c>
      <c r="B269" s="6" t="n">
        <v>106.255853364723</v>
      </c>
      <c r="C269" s="9" t="n">
        <v>278.802</v>
      </c>
      <c r="D269" s="1" t="n">
        <v>5800.71538791309</v>
      </c>
      <c r="G269" s="1" t="n">
        <v>2102.47279</v>
      </c>
      <c r="H269" s="1" t="n">
        <v>2345.858611167</v>
      </c>
      <c r="I269" s="3" t="n">
        <f aca="false">G269-H269</f>
        <v>-243.385821167</v>
      </c>
      <c r="J269" s="1" t="n">
        <v>71.53</v>
      </c>
      <c r="K269" s="1" t="n">
        <v>92.162235782159</v>
      </c>
      <c r="L269" s="3" t="n">
        <f aca="false">B269*54.2221/B$137</f>
        <v>66.9194070256546</v>
      </c>
      <c r="M269" s="3" t="n">
        <f aca="false">C269*100/C$137</f>
        <v>127.202879837941</v>
      </c>
      <c r="N269" s="3" t="n">
        <f aca="false">L269/M269</f>
        <v>0.526084056515949</v>
      </c>
    </row>
    <row r="270" customFormat="false" ht="15" hidden="false" customHeight="false" outlineLevel="0" collapsed="false">
      <c r="A270" s="5" t="n">
        <v>44562</v>
      </c>
      <c r="B270" s="6" t="n">
        <v>107.022306333896</v>
      </c>
      <c r="C270" s="9" t="n">
        <v>281.148</v>
      </c>
      <c r="D270" s="1" t="n">
        <v>2764.87567155016</v>
      </c>
      <c r="G270" s="1" t="n">
        <v>2455.62581</v>
      </c>
      <c r="H270" s="1" t="n">
        <v>2345.334812833</v>
      </c>
      <c r="I270" s="3" t="n">
        <f aca="false">G270-H270</f>
        <v>110.290997167</v>
      </c>
      <c r="J270" s="1" t="n">
        <v>83.12</v>
      </c>
      <c r="K270" s="1" t="n">
        <v>92.827027575025</v>
      </c>
      <c r="L270" s="3" t="n">
        <f aca="false">B270*54.2221/B$137</f>
        <v>67.4021152867613</v>
      </c>
      <c r="M270" s="3" t="n">
        <f aca="false">C270*100/C$137</f>
        <v>128.273237855817</v>
      </c>
      <c r="N270" s="3" t="n">
        <f aca="false">L270/M270</f>
        <v>0.525457347249031</v>
      </c>
    </row>
    <row r="271" customFormat="false" ht="15" hidden="false" customHeight="false" outlineLevel="0" collapsed="false">
      <c r="A271" s="5" t="n">
        <v>44593</v>
      </c>
      <c r="B271" s="6" t="n">
        <v>107.271128645889</v>
      </c>
      <c r="C271" s="9" t="n">
        <v>283.716</v>
      </c>
      <c r="D271" s="1" t="n">
        <v>3218.03301770063</v>
      </c>
      <c r="G271" s="1" t="n">
        <v>2666.85663</v>
      </c>
      <c r="H271" s="1" t="n">
        <v>2173.433660528</v>
      </c>
      <c r="I271" s="3" t="n">
        <f aca="false">G271-H271</f>
        <v>493.422969472</v>
      </c>
      <c r="J271" s="1" t="n">
        <v>91.74</v>
      </c>
      <c r="K271" s="1" t="n">
        <v>93.04284646744</v>
      </c>
      <c r="L271" s="3" t="n">
        <f aca="false">B271*54.2221/B$137</f>
        <v>67.5588223390889</v>
      </c>
      <c r="M271" s="3" t="n">
        <f aca="false">C271*100/C$137</f>
        <v>129.444882949553</v>
      </c>
      <c r="N271" s="3" t="n">
        <f aca="false">L271/M271</f>
        <v>0.52191188094641</v>
      </c>
    </row>
    <row r="272" customFormat="false" ht="15" hidden="false" customHeight="false" outlineLevel="0" collapsed="false">
      <c r="A272" s="5" t="n">
        <v>44621</v>
      </c>
      <c r="B272" s="6" t="n">
        <v>107.39173998062</v>
      </c>
      <c r="C272" s="9" t="n">
        <v>287.504</v>
      </c>
      <c r="D272" s="1" t="n">
        <v>3675.6334220928</v>
      </c>
      <c r="G272" s="1" t="n">
        <v>2962.65849</v>
      </c>
      <c r="H272" s="1" t="n">
        <v>2633.741082171</v>
      </c>
      <c r="I272" s="3" t="n">
        <f aca="false">G272-H272</f>
        <v>328.917407829</v>
      </c>
      <c r="J272" s="1" t="n">
        <v>108.49</v>
      </c>
      <c r="K272" s="1" t="n">
        <v>93.1474600949956</v>
      </c>
      <c r="L272" s="3" t="n">
        <f aca="false">B272*54.2221/B$137</f>
        <v>67.6347827567525</v>
      </c>
      <c r="M272" s="3" t="n">
        <f aca="false">C272*100/C$137</f>
        <v>131.173150712431</v>
      </c>
      <c r="N272" s="3" t="n">
        <f aca="false">L272/M272</f>
        <v>0.515614532314064</v>
      </c>
    </row>
    <row r="273" customFormat="false" ht="15" hidden="false" customHeight="false" outlineLevel="0" collapsed="false">
      <c r="A273" s="5" t="n">
        <v>44652</v>
      </c>
      <c r="B273" s="6" t="n">
        <v>108.029268737987</v>
      </c>
      <c r="C273" s="9" t="n">
        <v>289.109</v>
      </c>
      <c r="D273" s="1" t="n">
        <v>3594.35221167192</v>
      </c>
      <c r="G273" s="1" t="n">
        <v>2891.59461</v>
      </c>
      <c r="H273" s="1" t="n">
        <v>2479.317565332</v>
      </c>
      <c r="I273" s="3" t="n">
        <f aca="false">G273-H273</f>
        <v>412.277044668</v>
      </c>
      <c r="J273" s="1" t="n">
        <v>101.78</v>
      </c>
      <c r="K273" s="1" t="n">
        <v>93.7004279908216</v>
      </c>
      <c r="L273" s="3" t="n">
        <f aca="false">B273*54.2221/B$137</f>
        <v>68.0362951916327</v>
      </c>
      <c r="M273" s="3" t="n">
        <f aca="false">C273*100/C$137</f>
        <v>131.905428896016</v>
      </c>
      <c r="N273" s="3" t="n">
        <f aca="false">L273/M273</f>
        <v>0.515796019626054</v>
      </c>
    </row>
    <row r="274" customFormat="false" ht="15" hidden="false" customHeight="false" outlineLevel="0" collapsed="false">
      <c r="A274" s="5" t="n">
        <v>44682</v>
      </c>
      <c r="B274" s="6" t="n">
        <v>108.631435771839</v>
      </c>
      <c r="C274" s="9" t="n">
        <v>292.296</v>
      </c>
      <c r="D274" s="1" t="n">
        <v>3369.46268385489</v>
      </c>
      <c r="G274" s="1" t="n">
        <v>2843.8439</v>
      </c>
      <c r="H274" s="1" t="n">
        <v>2492.864963836</v>
      </c>
      <c r="I274" s="3" t="n">
        <f aca="false">G274-H274</f>
        <v>350.978936164001</v>
      </c>
      <c r="J274" s="1" t="n">
        <v>109.6</v>
      </c>
      <c r="K274" s="1" t="n">
        <v>94.2227244892894</v>
      </c>
      <c r="L274" s="3" t="n">
        <f aca="false">B274*54.2221/B$137</f>
        <v>68.4155369892347</v>
      </c>
      <c r="M274" s="3" t="n">
        <f aca="false">C274*100/C$137</f>
        <v>133.359491557129</v>
      </c>
      <c r="N274" s="3" t="n">
        <f aca="false">L274/M274</f>
        <v>0.513015880537656</v>
      </c>
    </row>
    <row r="275" customFormat="false" ht="15" hidden="false" customHeight="false" outlineLevel="0" collapsed="false">
      <c r="A275" s="5" t="n">
        <v>44713</v>
      </c>
      <c r="B275" s="6" t="n">
        <v>109.335611399018</v>
      </c>
      <c r="C275" s="9" t="n">
        <v>296.311</v>
      </c>
      <c r="D275" s="1" t="n">
        <v>3768.79608333186</v>
      </c>
      <c r="G275" s="1" t="n">
        <v>3047.66551</v>
      </c>
      <c r="H275" s="1" t="n">
        <v>2742.702020092</v>
      </c>
      <c r="I275" s="3" t="n">
        <f aca="false">G275-H275</f>
        <v>304.963489908</v>
      </c>
      <c r="J275" s="1" t="n">
        <v>114.59</v>
      </c>
      <c r="K275" s="1" t="n">
        <v>94.8334993137258</v>
      </c>
      <c r="L275" s="3" t="n">
        <f aca="false">B275*54.2221/B$137</f>
        <v>68.8590232906531</v>
      </c>
      <c r="M275" s="3" t="n">
        <f aca="false">C275*100/C$137</f>
        <v>135.191327636316</v>
      </c>
      <c r="N275" s="3" t="n">
        <f aca="false">L275/M275</f>
        <v>0.509344974227149</v>
      </c>
    </row>
    <row r="276" customFormat="false" ht="15" hidden="false" customHeight="false" outlineLevel="0" collapsed="false">
      <c r="A276" s="5" t="n">
        <v>44743</v>
      </c>
      <c r="B276" s="6" t="n">
        <v>109.510806797953</v>
      </c>
      <c r="C276" s="9" t="n">
        <v>296.276</v>
      </c>
      <c r="D276" s="1" t="n">
        <v>3604.30218269806</v>
      </c>
      <c r="G276" s="1" t="n">
        <v>2722.04078</v>
      </c>
      <c r="H276" s="1" t="n">
        <v>2478.765693429</v>
      </c>
      <c r="I276" s="3" t="n">
        <f aca="false">G276-H276</f>
        <v>243.275086571</v>
      </c>
      <c r="J276" s="1" t="n">
        <v>99.85</v>
      </c>
      <c r="K276" s="1" t="n">
        <v>94.9854570567892</v>
      </c>
      <c r="L276" s="3" t="n">
        <f aca="false">B276*54.2221/B$137</f>
        <v>68.9693604799852</v>
      </c>
      <c r="M276" s="3" t="n">
        <f aca="false">C276*100/C$137</f>
        <v>135.175358953184</v>
      </c>
      <c r="N276" s="3" t="n">
        <f aca="false">L276/M276</f>
        <v>0.510221396962382</v>
      </c>
    </row>
    <row r="277" customFormat="false" ht="15" hidden="false" customHeight="false" outlineLevel="0" collapsed="false">
      <c r="A277" s="5" t="n">
        <v>44774</v>
      </c>
      <c r="B277" s="6" t="n">
        <v>109.54212537178</v>
      </c>
      <c r="C277" s="9" t="n">
        <v>296.171</v>
      </c>
      <c r="D277" s="1" t="n">
        <v>3817.93174132117</v>
      </c>
      <c r="G277" s="1" t="n">
        <v>2642.50671</v>
      </c>
      <c r="H277" s="1" t="n">
        <v>2636.241943124</v>
      </c>
      <c r="I277" s="3" t="n">
        <f aca="false">G277-H277</f>
        <v>6.26476687600007</v>
      </c>
      <c r="J277" s="1" t="n">
        <v>91.57</v>
      </c>
      <c r="K277" s="1" t="n">
        <v>95.0126215817919</v>
      </c>
      <c r="L277" s="3" t="n">
        <f aca="false">B277*54.2221/B$137</f>
        <v>68.9890847617355</v>
      </c>
      <c r="M277" s="3" t="n">
        <f aca="false">C277*100/C$137</f>
        <v>135.127452903791</v>
      </c>
      <c r="N277" s="3" t="n">
        <f aca="false">L277/M277</f>
        <v>0.510548251145198</v>
      </c>
    </row>
    <row r="278" customFormat="false" ht="15" hidden="false" customHeight="false" outlineLevel="0" collapsed="false">
      <c r="A278" s="5" t="n">
        <v>44805</v>
      </c>
      <c r="B278" s="6" t="n">
        <v>109.93309397206</v>
      </c>
      <c r="C278" s="9" t="n">
        <v>296.808</v>
      </c>
      <c r="D278" s="1" t="n">
        <v>3661.33565032825</v>
      </c>
      <c r="G278" s="1" t="n">
        <v>2625.42316</v>
      </c>
      <c r="H278" s="1" t="n">
        <v>2745.435932779</v>
      </c>
      <c r="I278" s="3" t="n">
        <f aca="false">G278-H278</f>
        <v>-120.012772779</v>
      </c>
      <c r="J278" s="1" t="n">
        <v>83.87</v>
      </c>
      <c r="K278" s="1" t="n">
        <v>95.3517326912641</v>
      </c>
      <c r="L278" s="3" t="n">
        <f aca="false">B278*54.2221/B$137</f>
        <v>69.2353148381774</v>
      </c>
      <c r="M278" s="3" t="n">
        <f aca="false">C278*100/C$137</f>
        <v>135.418082936778</v>
      </c>
      <c r="N278" s="3" t="n">
        <f aca="false">L278/M278</f>
        <v>0.511270823930517</v>
      </c>
    </row>
    <row r="279" customFormat="false" ht="15" hidden="false" customHeight="false" outlineLevel="0" collapsed="false">
      <c r="A279" s="5" t="n">
        <v>44835</v>
      </c>
      <c r="B279" s="6" t="n">
        <v>110.06143636367</v>
      </c>
      <c r="C279" s="9" t="n">
        <v>298.012</v>
      </c>
      <c r="D279" s="1" t="n">
        <v>3724.47193136006</v>
      </c>
      <c r="G279" s="1" t="n">
        <v>2623.6515</v>
      </c>
      <c r="H279" s="1" t="n">
        <v>2496.037247348</v>
      </c>
      <c r="I279" s="3" t="n">
        <f aca="false">G279-H279</f>
        <v>127.614252652</v>
      </c>
      <c r="J279" s="1" t="n">
        <v>87.26</v>
      </c>
      <c r="K279" s="1" t="n">
        <v>95.4630519398687</v>
      </c>
      <c r="L279" s="3" t="n">
        <f aca="false">B279*54.2221/B$137</f>
        <v>69.316144236943</v>
      </c>
      <c r="M279" s="3" t="n">
        <f aca="false">C279*100/C$137</f>
        <v>135.967405636489</v>
      </c>
      <c r="N279" s="3" t="n">
        <f aca="false">L279/M279</f>
        <v>0.509799712015252</v>
      </c>
    </row>
    <row r="280" customFormat="false" ht="15" hidden="false" customHeight="false" outlineLevel="0" collapsed="false">
      <c r="A280" s="5" t="n">
        <v>44866</v>
      </c>
      <c r="B280" s="6" t="n">
        <v>110.05370922841</v>
      </c>
      <c r="C280" s="9" t="n">
        <v>297.711</v>
      </c>
      <c r="D280" s="1" t="n">
        <v>4019.88284624293</v>
      </c>
      <c r="G280" s="1" t="n">
        <v>2570.08721</v>
      </c>
      <c r="H280" s="1" t="n">
        <v>2699.59262269</v>
      </c>
      <c r="I280" s="3" t="n">
        <f aca="false">G280-H280</f>
        <v>-129.50541269</v>
      </c>
      <c r="J280" s="1" t="n">
        <v>84.78</v>
      </c>
      <c r="K280" s="1" t="n">
        <v>95.4563497202808</v>
      </c>
      <c r="L280" s="3" t="n">
        <f aca="false">B280*54.2221/B$137</f>
        <v>69.3112777256569</v>
      </c>
      <c r="M280" s="3" t="n">
        <f aca="false">C280*100/C$137</f>
        <v>135.830074961561</v>
      </c>
      <c r="N280" s="3" t="n">
        <f aca="false">L280/M280</f>
        <v>0.510279315867797</v>
      </c>
    </row>
    <row r="281" customFormat="false" ht="15" hidden="false" customHeight="false" outlineLevel="0" collapsed="false">
      <c r="A281" s="5" t="n">
        <v>44896</v>
      </c>
      <c r="B281" s="6" t="n">
        <v>110.227316943081</v>
      </c>
      <c r="C281" s="9" t="n">
        <v>296.797</v>
      </c>
      <c r="D281" s="1" t="n">
        <v>6002.88494436554</v>
      </c>
      <c r="G281" s="1" t="n">
        <v>2606.36643</v>
      </c>
      <c r="H281" s="1" t="n">
        <v>2410.289684417</v>
      </c>
      <c r="I281" s="3" t="n">
        <f aca="false">G281-H281</f>
        <v>196.076745583</v>
      </c>
      <c r="J281" s="1" t="n">
        <v>76.52</v>
      </c>
      <c r="K281" s="1" t="n">
        <v>95.6069303671482</v>
      </c>
      <c r="L281" s="3" t="n">
        <f aca="false">B281*54.2221/B$137</f>
        <v>69.4206149993503</v>
      </c>
      <c r="M281" s="3" t="n">
        <f aca="false">C281*100/C$137</f>
        <v>135.413064207794</v>
      </c>
      <c r="N281" s="3" t="n">
        <f aca="false">L281/M281</f>
        <v>0.512658179662955</v>
      </c>
    </row>
    <row r="282" customFormat="false" ht="15" hidden="false" customHeight="false" outlineLevel="0" collapsed="false">
      <c r="A282" s="5" t="n">
        <v>44927</v>
      </c>
      <c r="B282" s="6" t="n">
        <v>110.360236749334</v>
      </c>
      <c r="C282" s="9" t="n">
        <v>299.17</v>
      </c>
      <c r="D282" s="1" t="n">
        <v>3325.31829653203</v>
      </c>
      <c r="G282" s="1" t="n">
        <v>2337.71872</v>
      </c>
      <c r="H282" s="1" t="n">
        <v>2324.431978476</v>
      </c>
      <c r="I282" s="3" t="n">
        <f aca="false">G282-H282</f>
        <v>13.2867415239998</v>
      </c>
      <c r="J282" s="1" t="n">
        <v>78.11</v>
      </c>
      <c r="K282" s="1" t="n">
        <v>95.722219888959</v>
      </c>
      <c r="L282" s="3" t="n">
        <f aca="false">B282*54.2221/B$137</f>
        <v>69.5043272310509</v>
      </c>
      <c r="M282" s="3" t="n">
        <f aca="false">C282*100/C$137</f>
        <v>136.495740924085</v>
      </c>
      <c r="N282" s="3" t="n">
        <f aca="false">L282/M282</f>
        <v>0.509205098712254</v>
      </c>
    </row>
    <row r="283" customFormat="false" ht="15" hidden="false" customHeight="false" outlineLevel="0" collapsed="false">
      <c r="A283" s="5" t="n">
        <v>44958</v>
      </c>
      <c r="B283" s="6" t="n">
        <v>110.38</v>
      </c>
      <c r="C283" s="9" t="n">
        <v>300.84</v>
      </c>
      <c r="D283" s="1" t="n">
        <v>3559.59849411503</v>
      </c>
      <c r="G283" s="1" t="n">
        <v>2522.29029</v>
      </c>
      <c r="H283" s="1" t="n">
        <v>2279.73297551</v>
      </c>
      <c r="I283" s="3" t="n">
        <f aca="false">G283-H283</f>
        <v>242.55731449</v>
      </c>
      <c r="J283" s="1" t="n">
        <v>76.84</v>
      </c>
      <c r="K283" s="1" t="n">
        <v>95.7393617715944</v>
      </c>
      <c r="L283" s="3" t="n">
        <f aca="false">B283*54.2221/B$137</f>
        <v>69.5167740278493</v>
      </c>
      <c r="M283" s="3" t="n">
        <f aca="false">C283*100/C$137</f>
        <v>137.257675233485</v>
      </c>
      <c r="N283" s="3" t="n">
        <f aca="false">L283/M283</f>
        <v>0.506469120284869</v>
      </c>
    </row>
    <row r="284" customFormat="false" ht="15" hidden="false" customHeight="false" outlineLevel="0" collapsed="false">
      <c r="A284" s="5" t="n">
        <v>44986</v>
      </c>
      <c r="B284" s="6" t="n">
        <v>110.45</v>
      </c>
      <c r="C284" s="9" t="n">
        <v>301.836</v>
      </c>
      <c r="D284" s="1" t="n">
        <v>3880.60975658096</v>
      </c>
      <c r="G284" s="1" t="n">
        <v>2601.69151</v>
      </c>
      <c r="H284" s="1" t="n">
        <v>2415.145770721</v>
      </c>
      <c r="I284" s="3" t="n">
        <f aca="false">G284-H284</f>
        <v>186.545739278999</v>
      </c>
      <c r="J284" s="1" t="n">
        <v>73.37</v>
      </c>
      <c r="K284" s="1" t="n">
        <v>95.8000770762148</v>
      </c>
      <c r="L284" s="3" t="n">
        <f aca="false">B284*54.2221/B$137</f>
        <v>69.5608596790719</v>
      </c>
      <c r="M284" s="3" t="n">
        <f aca="false">C284*100/C$137</f>
        <v>137.712098330588</v>
      </c>
      <c r="N284" s="3" t="n">
        <f aca="false">L284/M284</f>
        <v>0.50511799996022</v>
      </c>
    </row>
    <row r="285" customFormat="false" ht="15" hidden="false" customHeight="false" outlineLevel="0" collapsed="false">
      <c r="A285" s="5" t="n">
        <v>45017</v>
      </c>
      <c r="B285" s="6" t="n">
        <v>110.668865019608</v>
      </c>
      <c r="C285" s="9" t="n">
        <v>303.363</v>
      </c>
      <c r="D285" s="1" t="n">
        <v>3561.45511302539</v>
      </c>
      <c r="G285" s="1" t="n">
        <v>2528.21217</v>
      </c>
      <c r="H285" s="1" t="n">
        <v>2303.722326749</v>
      </c>
      <c r="I285" s="3" t="n">
        <f aca="false">G285-H285</f>
        <v>224.489843251</v>
      </c>
      <c r="J285" s="1" t="n">
        <v>79.44</v>
      </c>
      <c r="K285" s="1" t="n">
        <v>95.989912166733</v>
      </c>
      <c r="L285" s="3" t="n">
        <f aca="false">B285*54.2221/B$137</f>
        <v>69.6986997779185</v>
      </c>
      <c r="M285" s="3" t="n">
        <f aca="false">C285*100/C$137</f>
        <v>138.408789163195</v>
      </c>
      <c r="N285" s="3" t="n">
        <f aca="false">L285/M285</f>
        <v>0.503571342537633</v>
      </c>
    </row>
    <row r="286" customFormat="false" ht="15" hidden="false" customHeight="false" outlineLevel="0" collapsed="false">
      <c r="A286" s="5" t="n">
        <v>45047</v>
      </c>
      <c r="B286" s="6" t="n">
        <v>110.767591152824</v>
      </c>
      <c r="C286" s="9" t="n">
        <v>304.127</v>
      </c>
      <c r="D286" s="1" t="n">
        <v>4050.94004157717</v>
      </c>
      <c r="G286" s="1" t="n">
        <v>2638.28233</v>
      </c>
      <c r="H286" s="1" t="n">
        <v>2432.180299137</v>
      </c>
      <c r="I286" s="3" t="n">
        <f aca="false">G286-H286</f>
        <v>206.102030863</v>
      </c>
      <c r="J286" s="1" t="n">
        <v>71.59</v>
      </c>
      <c r="K286" s="1" t="n">
        <v>96.0755434131932</v>
      </c>
      <c r="L286" s="3" t="n">
        <f aca="false">B286*54.2221/B$137</f>
        <v>69.7608770047116</v>
      </c>
      <c r="M286" s="3" t="n">
        <f aca="false">C286*100/C$137</f>
        <v>138.757362703544</v>
      </c>
      <c r="N286" s="3" t="n">
        <f aca="false">L286/M286</f>
        <v>0.502754417102582</v>
      </c>
    </row>
    <row r="287" customFormat="false" ht="15" hidden="false" customHeight="false" outlineLevel="0" collapsed="false">
      <c r="A287" s="5" t="n">
        <v>45078</v>
      </c>
      <c r="B287" s="6" t="n">
        <v>111.181541477615</v>
      </c>
      <c r="C287" s="9" t="n">
        <v>305.109</v>
      </c>
      <c r="D287" s="1" t="n">
        <v>3656.97833318089</v>
      </c>
      <c r="G287" s="1" t="n">
        <v>2530.84982</v>
      </c>
      <c r="H287" s="1" t="n">
        <v>2274.278158164</v>
      </c>
      <c r="I287" s="3" t="n">
        <f aca="false">G287-H287</f>
        <v>256.571661836</v>
      </c>
      <c r="J287" s="1" t="n">
        <v>70.23</v>
      </c>
      <c r="K287" s="1" t="n">
        <v>96.4345879855853</v>
      </c>
      <c r="L287" s="3" t="n">
        <f aca="false">B287*54.2221/B$137</f>
        <v>70.0215808567432</v>
      </c>
      <c r="M287" s="3" t="n">
        <f aca="false">C287*100/C$137</f>
        <v>139.205398327395</v>
      </c>
      <c r="N287" s="3" t="n">
        <f aca="false">L287/M287</f>
        <v>0.503009090869169</v>
      </c>
    </row>
    <row r="288" customFormat="false" ht="15" hidden="false" customHeight="false" outlineLevel="0" collapsed="false">
      <c r="A288" s="5" t="n">
        <v>45108</v>
      </c>
      <c r="B288" s="6" t="n">
        <v>111.780858152468</v>
      </c>
      <c r="C288" s="9" t="n">
        <v>305.691</v>
      </c>
      <c r="D288" s="1" t="n">
        <v>3764.7199546718</v>
      </c>
      <c r="G288" s="1" t="n">
        <v>2567.26431</v>
      </c>
      <c r="H288" s="1" t="n">
        <v>2345.830849165</v>
      </c>
      <c r="I288" s="3" t="n">
        <f aca="false">G288-H288</f>
        <v>221.433460835</v>
      </c>
      <c r="J288" s="1" t="n">
        <v>76.39</v>
      </c>
      <c r="K288" s="1" t="n">
        <v>96.9544121924117</v>
      </c>
      <c r="L288" s="3" t="n">
        <f aca="false">B288*54.2221/B$137</f>
        <v>70.3990275124497</v>
      </c>
      <c r="M288" s="3" t="n">
        <f aca="false">C288*100/C$137</f>
        <v>139.470934715461</v>
      </c>
      <c r="N288" s="3" t="n">
        <f aca="false">L288/M288</f>
        <v>0.504757694899464</v>
      </c>
    </row>
    <row r="289" customFormat="false" ht="15" hidden="false" customHeight="false" outlineLevel="0" collapsed="false">
      <c r="A289" s="5" t="n">
        <v>45139</v>
      </c>
      <c r="B289" s="6" t="n">
        <v>112.343081099914</v>
      </c>
      <c r="C289" s="9" t="n">
        <v>307.026</v>
      </c>
      <c r="D289" s="1" t="n">
        <v>4162.10084981769</v>
      </c>
      <c r="G289" s="1" t="n">
        <v>2620.71501</v>
      </c>
      <c r="H289" s="1" t="n">
        <v>2719.481100809</v>
      </c>
      <c r="I289" s="3" t="n">
        <f aca="false">G289-H289</f>
        <v>-98.7660908090002</v>
      </c>
      <c r="J289" s="1" t="n">
        <v>81.4</v>
      </c>
      <c r="K289" s="1" t="n">
        <v>97.4420627283949</v>
      </c>
      <c r="L289" s="3" t="n">
        <f aca="false">B289*54.2221/B$137</f>
        <v>70.753112723456</v>
      </c>
      <c r="M289" s="3" t="n">
        <f aca="false">C289*100/C$137</f>
        <v>140.080025914891</v>
      </c>
      <c r="N289" s="3" t="n">
        <f aca="false">L289/M289</f>
        <v>0.505090659866407</v>
      </c>
    </row>
    <row r="290" customFormat="false" ht="15" hidden="false" customHeight="false" outlineLevel="0" collapsed="false">
      <c r="A290" s="5" t="n">
        <v>45170</v>
      </c>
      <c r="B290" s="6" t="n">
        <v>112.385606673683</v>
      </c>
      <c r="C290" s="9" t="n">
        <v>307.789</v>
      </c>
      <c r="D290" s="1" t="n">
        <v>3897.60891680486</v>
      </c>
      <c r="G290" s="1" t="n">
        <v>3065.56551</v>
      </c>
      <c r="H290" s="1" t="n">
        <v>2540.173269014</v>
      </c>
      <c r="I290" s="3" t="n">
        <f aca="false">G290-H290</f>
        <v>525.392240986</v>
      </c>
      <c r="J290" s="1" t="n">
        <v>89.58</v>
      </c>
      <c r="K290" s="1" t="n">
        <v>97.478947773617</v>
      </c>
      <c r="L290" s="3" t="n">
        <f aca="false">B290*54.2221/B$137</f>
        <v>70.7798951179306</v>
      </c>
      <c r="M290" s="3" t="n">
        <f aca="false">C290*100/C$137</f>
        <v>140.42814320715</v>
      </c>
      <c r="N290" s="3" t="n">
        <f aca="false">L290/M290</f>
        <v>0.504029274342257</v>
      </c>
    </row>
    <row r="291" customFormat="false" ht="15" hidden="false" customHeight="false" outlineLevel="0" collapsed="false">
      <c r="A291" s="5" t="n">
        <v>45200</v>
      </c>
      <c r="B291" s="6" t="n">
        <v>112.188911619948</v>
      </c>
      <c r="C291" s="9" t="n">
        <v>307.671</v>
      </c>
      <c r="D291" s="1" t="n">
        <v>3966.37011640633</v>
      </c>
      <c r="G291" s="1" t="n">
        <v>2606.66108</v>
      </c>
      <c r="H291" s="1" t="n">
        <v>2631.499660012</v>
      </c>
      <c r="I291" s="3" t="n">
        <f aca="false">G291-H291</f>
        <v>-24.838580012</v>
      </c>
      <c r="J291" s="1" t="n">
        <v>85.57</v>
      </c>
      <c r="K291" s="1" t="n">
        <v>97.3083420578332</v>
      </c>
      <c r="L291" s="3" t="n">
        <f aca="false">B291*54.2221/B$137</f>
        <v>70.6560175531281</v>
      </c>
      <c r="M291" s="3" t="n">
        <f aca="false">C291*100/C$137</f>
        <v>140.374305932594</v>
      </c>
      <c r="N291" s="3" t="n">
        <f aca="false">L291/M291</f>
        <v>0.503340102618611</v>
      </c>
    </row>
    <row r="292" customFormat="false" ht="15" hidden="false" customHeight="false" outlineLevel="0" collapsed="false">
      <c r="A292" s="5" t="n">
        <v>45231</v>
      </c>
      <c r="B292" s="6" t="n">
        <v>111.741053926941</v>
      </c>
      <c r="C292" s="9" t="n">
        <v>307.051</v>
      </c>
      <c r="D292" s="1" t="n">
        <v>4451.50328447605</v>
      </c>
      <c r="H292" s="1" t="n">
        <v>2609.474602744</v>
      </c>
      <c r="I292" s="3" t="n">
        <f aca="false">G292-H292</f>
        <v>-2609.474602744</v>
      </c>
      <c r="J292" s="1" t="n">
        <v>77.43</v>
      </c>
      <c r="K292" s="1" t="n">
        <v>96.9198875398681</v>
      </c>
      <c r="L292" s="3" t="n">
        <f aca="false">B292*54.2221/B$137</f>
        <v>70.3739590095387</v>
      </c>
      <c r="M292" s="3" t="n">
        <f aca="false">C292*100/C$137</f>
        <v>140.091432117128</v>
      </c>
      <c r="N292" s="3" t="n">
        <f aca="false">L292/M292</f>
        <v>0.502343062284496</v>
      </c>
    </row>
    <row r="293" customFormat="false" ht="15" hidden="false" customHeight="false" outlineLevel="0" collapsed="false">
      <c r="A293" s="5" t="n">
        <v>45261</v>
      </c>
      <c r="B293" s="6" t="n">
        <v>111.715101416755</v>
      </c>
      <c r="C293" s="9" t="n">
        <v>306.746</v>
      </c>
      <c r="D293" s="1" t="n">
        <v>5606.26468467801</v>
      </c>
      <c r="H293" s="1" t="n">
        <v>2255.616311212</v>
      </c>
      <c r="I293" s="3" t="n">
        <f aca="false">G293-H293</f>
        <v>-2255.616311212</v>
      </c>
      <c r="J293" s="1" t="n">
        <v>72.08</v>
      </c>
      <c r="K293" s="1" t="n">
        <v>96.8973773318451</v>
      </c>
      <c r="L293" s="3" t="n">
        <f aca="false">B293*54.2221/B$137</f>
        <v>70.3576142479328</v>
      </c>
      <c r="M293" s="3" t="n">
        <f aca="false">C293*100/C$137</f>
        <v>139.952276449842</v>
      </c>
      <c r="N293" s="3" t="n">
        <f aca="false">L293/M293</f>
        <v>0.502725757898968</v>
      </c>
    </row>
    <row r="294" customFormat="false" ht="15" hidden="false" customHeight="false" outlineLevel="0" collapsed="false">
      <c r="A294" s="5" t="n">
        <v>45292</v>
      </c>
      <c r="B294" s="6" t="n">
        <v>111.855131486751</v>
      </c>
      <c r="C294" s="9" t="n">
        <v>308.417</v>
      </c>
      <c r="D294" s="1" t="n">
        <v>3367.07052211317</v>
      </c>
      <c r="H294" s="1" t="n">
        <v>2171.434461659</v>
      </c>
      <c r="I294" s="3" t="n">
        <f aca="false">G294-H294</f>
        <v>-2171.434461659</v>
      </c>
      <c r="J294" s="1" t="n">
        <v>73.93</v>
      </c>
      <c r="K294" s="1" t="n">
        <v>97.0188340226428</v>
      </c>
      <c r="L294" s="3" t="n">
        <f aca="false">B294*54.2221/B$137</f>
        <v>70.4458044883117</v>
      </c>
      <c r="M294" s="3" t="n">
        <f aca="false">C294*100/C$137</f>
        <v>140.714667007332</v>
      </c>
      <c r="N294" s="3" t="n">
        <f aca="false">L294/M294</f>
        <v>0.500628726106008</v>
      </c>
    </row>
    <row r="295" customFormat="false" ht="15" hidden="false" customHeight="false" outlineLevel="0" collapsed="false">
      <c r="A295" s="5" t="n">
        <v>45323</v>
      </c>
      <c r="B295" s="6" t="n">
        <v>111.958952108953</v>
      </c>
      <c r="C295" s="9" t="n">
        <v>310.326</v>
      </c>
      <c r="H295" s="1" t="n">
        <v>1990.900247663</v>
      </c>
      <c r="I295" s="3" t="n">
        <f aca="false">G295-H295</f>
        <v>-1990.900247663</v>
      </c>
      <c r="J295" s="1" t="n">
        <v>76.7</v>
      </c>
      <c r="K295" s="1" t="n">
        <v>97.108884032684</v>
      </c>
      <c r="L295" s="3" t="n">
        <f aca="false">B295*54.2221/B$137</f>
        <v>70.5111901988847</v>
      </c>
      <c r="M295" s="3" t="n">
        <f aca="false">C295*100/C$137</f>
        <v>141.585644610113</v>
      </c>
      <c r="N295" s="3" t="n">
        <f aca="false">L295/M295</f>
        <v>0.498010871038886</v>
      </c>
    </row>
    <row r="296" customFormat="false" ht="15" hidden="false" customHeight="false" outlineLevel="0" collapsed="false">
      <c r="J296" s="1" t="n">
        <v>80.49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2" activeCellId="1" sqref="H15:H82 F2"/>
    </sheetView>
  </sheetViews>
  <sheetFormatPr defaultColWidth="11.4296875" defaultRowHeight="15" zeroHeight="false" outlineLevelRow="0" outlineLevelCol="0"/>
  <sheetData>
    <row r="1" customFormat="false" ht="15" hidden="false" customHeight="false" outlineLevel="0" collapsed="false">
      <c r="A1" s="1" t="s">
        <v>92</v>
      </c>
      <c r="B1" s="1" t="s">
        <v>93</v>
      </c>
      <c r="C1" s="1" t="s">
        <v>94</v>
      </c>
      <c r="D1" s="1" t="s">
        <v>7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29</v>
      </c>
    </row>
    <row r="2" customFormat="false" ht="15" hidden="false" customHeight="false" outlineLevel="0" collapsed="false">
      <c r="A2" s="5" t="n">
        <v>37257</v>
      </c>
      <c r="B2" s="3" t="n">
        <f aca="false">YEAR(A2)</f>
        <v>2002</v>
      </c>
      <c r="C2" s="3" t="n">
        <f aca="false">MONTH(A2)</f>
        <v>1</v>
      </c>
      <c r="D2" s="1" t="n">
        <v>57.75601606</v>
      </c>
      <c r="E2" s="1" t="n">
        <v>177.993428587</v>
      </c>
      <c r="F2" s="1" t="n">
        <v>502.764897496</v>
      </c>
      <c r="G2" s="1" t="n">
        <v>500.00697943</v>
      </c>
      <c r="H2" s="1" t="n">
        <v>-34.234354266</v>
      </c>
      <c r="I2" s="1" t="n">
        <v>356.961948922</v>
      </c>
      <c r="J2" s="1" t="n">
        <v>467.563686828</v>
      </c>
      <c r="K2" s="1" t="n">
        <v>-59.432794335</v>
      </c>
      <c r="L2" s="1" t="n">
        <v>19.543380359</v>
      </c>
      <c r="M2" s="1" t="n">
        <v>50.095344409</v>
      </c>
      <c r="O2" s="5" t="n">
        <v>37257</v>
      </c>
    </row>
    <row r="3" customFormat="false" ht="15" hidden="false" customHeight="false" outlineLevel="0" collapsed="false">
      <c r="A3" s="5" t="n">
        <v>37288</v>
      </c>
      <c r="B3" s="3" t="n">
        <f aca="false">YEAR(A3)</f>
        <v>2002</v>
      </c>
      <c r="C3" s="3" t="n">
        <f aca="false">MONTH(A3)</f>
        <v>2</v>
      </c>
      <c r="D3" s="1" t="n">
        <v>58.17453663</v>
      </c>
      <c r="E3" s="1" t="n">
        <v>178.069518658</v>
      </c>
      <c r="F3" s="1" t="n">
        <v>463.28569355</v>
      </c>
      <c r="G3" s="1" t="n">
        <v>563.740475487</v>
      </c>
      <c r="H3" s="1" t="n">
        <v>97.563450081</v>
      </c>
      <c r="I3" s="1" t="n">
        <v>372.881355208</v>
      </c>
      <c r="J3" s="1" t="n">
        <v>468.724757945</v>
      </c>
      <c r="K3" s="1" t="n">
        <v>-102.099058689</v>
      </c>
      <c r="L3" s="1" t="n">
        <v>22.039490432</v>
      </c>
      <c r="M3" s="1" t="n">
        <v>50.458353037</v>
      </c>
      <c r="O3" s="5" t="n">
        <v>37288</v>
      </c>
    </row>
    <row r="4" customFormat="false" ht="15" hidden="false" customHeight="false" outlineLevel="0" collapsed="false">
      <c r="A4" s="5" t="n">
        <v>37316</v>
      </c>
      <c r="B4" s="3" t="n">
        <f aca="false">YEAR(A4)</f>
        <v>2002</v>
      </c>
      <c r="C4" s="3" t="n">
        <f aca="false">MONTH(A4)</f>
        <v>3</v>
      </c>
      <c r="D4" s="1" t="n">
        <v>58.676633336</v>
      </c>
      <c r="E4" s="1" t="n">
        <v>178.429497971</v>
      </c>
      <c r="F4" s="1" t="n">
        <v>448.133796912</v>
      </c>
      <c r="G4" s="1" t="n">
        <v>484.831699749</v>
      </c>
      <c r="H4" s="1" t="n">
        <v>-13.871438592</v>
      </c>
      <c r="I4" s="1" t="n">
        <v>399.939158979</v>
      </c>
      <c r="J4" s="1" t="n">
        <v>472.38133929</v>
      </c>
      <c r="K4" s="1" t="n">
        <v>-87.420008254</v>
      </c>
      <c r="L4" s="1" t="n">
        <v>22.923641145</v>
      </c>
      <c r="M4" s="1" t="n">
        <v>50.893852386</v>
      </c>
      <c r="O4" s="5" t="n">
        <v>37316</v>
      </c>
    </row>
    <row r="5" customFormat="false" ht="15" hidden="false" customHeight="false" outlineLevel="0" collapsed="false">
      <c r="A5" s="5" t="n">
        <v>37347</v>
      </c>
      <c r="B5" s="3" t="n">
        <f aca="false">YEAR(A5)</f>
        <v>2002</v>
      </c>
      <c r="C5" s="3" t="n">
        <f aca="false">MONTH(A5)</f>
        <v>4</v>
      </c>
      <c r="D5" s="1" t="n">
        <v>59.25098266</v>
      </c>
      <c r="E5" s="1" t="n">
        <v>179.158067508</v>
      </c>
      <c r="F5" s="1" t="n">
        <v>536.636382164</v>
      </c>
      <c r="G5" s="1" t="n">
        <v>521.509590503</v>
      </c>
      <c r="H5" s="1" t="n">
        <v>-53.616519298</v>
      </c>
      <c r="I5" s="1" t="n">
        <v>418.387419178</v>
      </c>
      <c r="J5" s="1" t="n">
        <v>614.984073937</v>
      </c>
      <c r="K5" s="1" t="n">
        <v>-139.740494969</v>
      </c>
      <c r="L5" s="1" t="n">
        <v>26.702077001</v>
      </c>
      <c r="M5" s="1" t="n">
        <v>51.392020875</v>
      </c>
      <c r="O5" s="5" t="n">
        <v>37347</v>
      </c>
    </row>
    <row r="6" customFormat="false" ht="15" hidden="false" customHeight="false" outlineLevel="0" collapsed="false">
      <c r="A6" s="5" t="n">
        <v>37377</v>
      </c>
      <c r="B6" s="3" t="n">
        <f aca="false">YEAR(A6)</f>
        <v>2002</v>
      </c>
      <c r="C6" s="3" t="n">
        <f aca="false">MONTH(A6)</f>
        <v>5</v>
      </c>
      <c r="D6" s="1" t="n">
        <v>59.716022404</v>
      </c>
      <c r="E6" s="1" t="n">
        <v>179.311678536</v>
      </c>
      <c r="F6" s="1" t="n">
        <v>541.130836624</v>
      </c>
      <c r="G6" s="1" t="n">
        <v>513.693748059</v>
      </c>
      <c r="H6" s="1" t="n">
        <v>2.317627882</v>
      </c>
      <c r="I6" s="1" t="n">
        <v>441.928050124</v>
      </c>
      <c r="J6" s="1" t="n">
        <v>489.698867974</v>
      </c>
      <c r="K6" s="1" t="n">
        <v>-30.246290273</v>
      </c>
      <c r="L6" s="1" t="n">
        <v>26.786170693</v>
      </c>
      <c r="M6" s="1" t="n">
        <v>51.795378442</v>
      </c>
      <c r="O6" s="5" t="n">
        <v>37377</v>
      </c>
    </row>
    <row r="7" customFormat="false" ht="15" hidden="false" customHeight="false" outlineLevel="0" collapsed="false">
      <c r="A7" s="5" t="n">
        <v>37408</v>
      </c>
      <c r="B7" s="3" t="n">
        <f aca="false">YEAR(A7)</f>
        <v>2002</v>
      </c>
      <c r="C7" s="3" t="n">
        <f aca="false">MONTH(A7)</f>
        <v>6</v>
      </c>
      <c r="D7" s="1" t="n">
        <v>60.205417154</v>
      </c>
      <c r="E7" s="1" t="n">
        <v>179.517685696</v>
      </c>
      <c r="F7" s="1" t="n">
        <v>487.642216485</v>
      </c>
      <c r="G7" s="1" t="n">
        <v>565.868464462</v>
      </c>
      <c r="H7" s="1" t="n">
        <v>32.12581397</v>
      </c>
      <c r="I7" s="1" t="n">
        <v>407.584796993</v>
      </c>
      <c r="J7" s="1" t="n">
        <v>548.336784074</v>
      </c>
      <c r="K7" s="1" t="n">
        <v>-200.974902281</v>
      </c>
      <c r="L7" s="1" t="n">
        <v>26.005561733</v>
      </c>
      <c r="M7" s="1" t="n">
        <v>52.219860604</v>
      </c>
      <c r="O7" s="5" t="n">
        <v>37408</v>
      </c>
    </row>
    <row r="8" customFormat="false" ht="15" hidden="false" customHeight="false" outlineLevel="0" collapsed="false">
      <c r="A8" s="5" t="n">
        <v>37438</v>
      </c>
      <c r="B8" s="3" t="n">
        <f aca="false">YEAR(A8)</f>
        <v>2002</v>
      </c>
      <c r="C8" s="3" t="n">
        <f aca="false">MONTH(A8)</f>
        <v>7</v>
      </c>
      <c r="D8" s="1" t="n">
        <v>60.501356853</v>
      </c>
      <c r="E8" s="1" t="n">
        <v>179.957720387</v>
      </c>
      <c r="F8" s="1" t="n">
        <v>499.637115017</v>
      </c>
      <c r="G8" s="1" t="n">
        <v>497.001872776</v>
      </c>
      <c r="H8" s="1" t="n">
        <v>4.900055999</v>
      </c>
      <c r="I8" s="1" t="n">
        <v>427.844904322</v>
      </c>
      <c r="J8" s="1" t="n">
        <v>500.996634281</v>
      </c>
      <c r="K8" s="1" t="n">
        <v>-60.527601845</v>
      </c>
      <c r="L8" s="1" t="n">
        <v>26.560429314</v>
      </c>
      <c r="M8" s="1" t="n">
        <v>52.476547304</v>
      </c>
      <c r="O8" s="5" t="n">
        <v>37438</v>
      </c>
    </row>
    <row r="9" customFormat="false" ht="15" hidden="false" customHeight="false" outlineLevel="0" collapsed="false">
      <c r="A9" s="5" t="n">
        <v>37469</v>
      </c>
      <c r="B9" s="3" t="n">
        <f aca="false">YEAR(A9)</f>
        <v>2002</v>
      </c>
      <c r="C9" s="3" t="n">
        <f aca="false">MONTH(A9)</f>
        <v>8</v>
      </c>
      <c r="D9" s="1" t="n">
        <v>60.875757767</v>
      </c>
      <c r="E9" s="1" t="n">
        <v>180.454071173</v>
      </c>
      <c r="F9" s="1" t="n">
        <v>509.084377336</v>
      </c>
      <c r="G9" s="1" t="n">
        <v>508.96354903</v>
      </c>
      <c r="H9" s="1" t="n">
        <v>-6.836992833</v>
      </c>
      <c r="I9" s="1" t="n">
        <v>429.148758463</v>
      </c>
      <c r="J9" s="1" t="n">
        <v>557.949195295</v>
      </c>
      <c r="K9" s="1" t="n">
        <v>-142.644488629</v>
      </c>
      <c r="L9" s="1" t="n">
        <v>25.983800611</v>
      </c>
      <c r="M9" s="1" t="n">
        <v>52.801288241</v>
      </c>
      <c r="O9" s="5" t="n">
        <v>37469</v>
      </c>
    </row>
    <row r="10" customFormat="false" ht="15" hidden="false" customHeight="false" outlineLevel="0" collapsed="false">
      <c r="A10" s="5" t="n">
        <v>37500</v>
      </c>
      <c r="B10" s="3" t="n">
        <f aca="false">YEAR(A10)</f>
        <v>2002</v>
      </c>
      <c r="C10" s="3" t="n">
        <f aca="false">MONTH(A10)</f>
        <v>9</v>
      </c>
      <c r="D10" s="1" t="n">
        <v>61.07950563</v>
      </c>
      <c r="E10" s="1" t="n">
        <v>180.58474071</v>
      </c>
      <c r="F10" s="1" t="n">
        <v>504.311165961</v>
      </c>
      <c r="G10" s="1" t="n">
        <v>579.735995014</v>
      </c>
      <c r="H10" s="1" t="n">
        <v>80.841257665</v>
      </c>
      <c r="I10" s="1" t="n">
        <v>438.017223028</v>
      </c>
      <c r="J10" s="1" t="n">
        <v>546.707360404</v>
      </c>
      <c r="K10" s="1" t="n">
        <v>-144.872078758</v>
      </c>
      <c r="L10" s="1" t="n">
        <v>28.316633926</v>
      </c>
      <c r="M10" s="1" t="n">
        <v>52.978011291</v>
      </c>
      <c r="O10" s="5" t="n">
        <v>37500</v>
      </c>
    </row>
    <row r="11" customFormat="false" ht="15" hidden="false" customHeight="false" outlineLevel="0" collapsed="false">
      <c r="A11" s="5" t="n">
        <v>37530</v>
      </c>
      <c r="B11" s="3" t="n">
        <f aca="false">YEAR(A11)</f>
        <v>2002</v>
      </c>
      <c r="C11" s="3" t="n">
        <f aca="false">MONTH(A11)</f>
        <v>10</v>
      </c>
      <c r="D11" s="1" t="n">
        <v>61.463922784</v>
      </c>
      <c r="E11" s="1" t="n">
        <v>180.994256011</v>
      </c>
      <c r="F11" s="1" t="n">
        <v>532.055515287</v>
      </c>
      <c r="G11" s="1" t="n">
        <v>593.225348906</v>
      </c>
      <c r="H11" s="1" t="n">
        <v>38.905535497</v>
      </c>
      <c r="I11" s="1" t="n">
        <v>424.705091792</v>
      </c>
      <c r="J11" s="1" t="n">
        <v>515.400786318</v>
      </c>
      <c r="K11" s="1" t="n">
        <v>-83.360328667</v>
      </c>
      <c r="L11" s="1" t="n">
        <v>28.654307251</v>
      </c>
      <c r="M11" s="1" t="n">
        <v>53.311439929</v>
      </c>
      <c r="O11" s="5" t="n">
        <v>37530</v>
      </c>
    </row>
    <row r="12" customFormat="false" ht="15" hidden="false" customHeight="false" outlineLevel="0" collapsed="false">
      <c r="A12" s="5" t="n">
        <v>37561</v>
      </c>
      <c r="B12" s="3" t="n">
        <f aca="false">YEAR(A12)</f>
        <v>2002</v>
      </c>
      <c r="C12" s="3" t="n">
        <f aca="false">MONTH(A12)</f>
        <v>11</v>
      </c>
      <c r="D12" s="1" t="n">
        <v>61.808324698</v>
      </c>
      <c r="E12" s="1" t="n">
        <v>181.735755696</v>
      </c>
      <c r="F12" s="1" t="n">
        <v>617.089606584</v>
      </c>
      <c r="G12" s="1" t="n">
        <v>531.148993462</v>
      </c>
      <c r="H12" s="1" t="n">
        <v>-46.484336173</v>
      </c>
      <c r="I12" s="1" t="n">
        <v>459.713392148</v>
      </c>
      <c r="J12" s="1" t="n">
        <v>483.432813555</v>
      </c>
      <c r="K12" s="1" t="n">
        <v>-9.678209651</v>
      </c>
      <c r="L12" s="1" t="n">
        <v>27.518205884</v>
      </c>
      <c r="M12" s="1" t="n">
        <v>53.610160888</v>
      </c>
      <c r="O12" s="5" t="n">
        <v>37561</v>
      </c>
    </row>
    <row r="13" customFormat="false" ht="15" hidden="false" customHeight="false" outlineLevel="0" collapsed="false">
      <c r="A13" s="5" t="n">
        <v>37591</v>
      </c>
      <c r="B13" s="3" t="n">
        <f aca="false">YEAR(A13)</f>
        <v>2002</v>
      </c>
      <c r="C13" s="3" t="n">
        <f aca="false">MONTH(A13)</f>
        <v>12</v>
      </c>
      <c r="D13" s="1" t="n">
        <v>62.141134029</v>
      </c>
      <c r="E13" s="1" t="n">
        <v>182.236882479</v>
      </c>
      <c r="F13" s="1" t="n">
        <v>507.986417142</v>
      </c>
      <c r="G13" s="1" t="n">
        <v>532.279122913</v>
      </c>
      <c r="H13" s="1" t="n">
        <v>102.006715378</v>
      </c>
      <c r="I13" s="1" t="n">
        <v>456.393764675</v>
      </c>
      <c r="J13" s="1" t="n">
        <v>505.87797981</v>
      </c>
      <c r="K13" s="1" t="n">
        <v>-57.323054404</v>
      </c>
      <c r="L13" s="1" t="n">
        <v>31.854310116</v>
      </c>
      <c r="M13" s="1" t="n">
        <v>53.898826887</v>
      </c>
      <c r="O13" s="5" t="n">
        <v>37591</v>
      </c>
    </row>
    <row r="14" customFormat="false" ht="15" hidden="false" customHeight="false" outlineLevel="0" collapsed="false">
      <c r="A14" s="5" t="n">
        <v>37622</v>
      </c>
      <c r="B14" s="3" t="n">
        <f aca="false">YEAR(A14)</f>
        <v>2003</v>
      </c>
      <c r="C14" s="3" t="n">
        <f aca="false">MONTH(A14)</f>
        <v>1</v>
      </c>
      <c r="D14" s="1" t="n">
        <v>63.564977521</v>
      </c>
      <c r="E14" s="1" t="n">
        <v>182.626036468</v>
      </c>
      <c r="F14" s="1" t="n">
        <v>528.25671791</v>
      </c>
      <c r="G14" s="1" t="n">
        <v>548.288274339</v>
      </c>
      <c r="H14" s="1" t="n">
        <v>21.459851797</v>
      </c>
      <c r="I14" s="1" t="n">
        <v>488.409489919</v>
      </c>
      <c r="J14" s="1" t="n">
        <v>555.332972464</v>
      </c>
      <c r="K14" s="1" t="n">
        <v>-27.905896666</v>
      </c>
      <c r="L14" s="1" t="n">
        <v>32.943835485</v>
      </c>
      <c r="M14" s="1" t="n">
        <v>55.133813904</v>
      </c>
      <c r="O14" s="5" t="n">
        <v>37622</v>
      </c>
    </row>
    <row r="15" customFormat="false" ht="15" hidden="false" customHeight="false" outlineLevel="0" collapsed="false">
      <c r="A15" s="5" t="n">
        <v>37653</v>
      </c>
      <c r="B15" s="3" t="n">
        <f aca="false">YEAR(A15)</f>
        <v>2003</v>
      </c>
      <c r="C15" s="3" t="n">
        <f aca="false">MONTH(A15)</f>
        <v>2</v>
      </c>
      <c r="D15" s="1" t="n">
        <v>63.855807603</v>
      </c>
      <c r="E15" s="1" t="n">
        <v>183.453897946</v>
      </c>
      <c r="F15" s="1" t="n">
        <v>508.693966808</v>
      </c>
      <c r="G15" s="1" t="n">
        <v>538.364259386</v>
      </c>
      <c r="H15" s="1" t="n">
        <v>43.031388186</v>
      </c>
      <c r="I15" s="1" t="n">
        <v>581.454474849</v>
      </c>
      <c r="J15" s="1" t="n">
        <v>507.767592123</v>
      </c>
      <c r="K15" s="1" t="n">
        <v>58.037938709</v>
      </c>
      <c r="L15" s="1" t="n">
        <v>37.442359578</v>
      </c>
      <c r="M15" s="1" t="n">
        <v>55.386068719</v>
      </c>
      <c r="O15" s="5" t="n">
        <v>37653</v>
      </c>
    </row>
    <row r="16" customFormat="false" ht="15" hidden="false" customHeight="false" outlineLevel="0" collapsed="false">
      <c r="A16" s="5" t="n">
        <v>37681</v>
      </c>
      <c r="B16" s="3" t="n">
        <f aca="false">YEAR(A16)</f>
        <v>2003</v>
      </c>
      <c r="C16" s="3" t="n">
        <f aca="false">MONTH(A16)</f>
        <v>3</v>
      </c>
      <c r="D16" s="1" t="n">
        <v>64.065421599</v>
      </c>
      <c r="E16" s="1" t="n">
        <v>183.900600505</v>
      </c>
      <c r="F16" s="1" t="n">
        <v>485.514800851</v>
      </c>
      <c r="G16" s="1" t="n">
        <v>573.401682788</v>
      </c>
      <c r="H16" s="1" t="n">
        <v>64.548152739</v>
      </c>
      <c r="I16" s="1" t="n">
        <v>508.409907892</v>
      </c>
      <c r="J16" s="1" t="n">
        <v>495.040396791</v>
      </c>
      <c r="K16" s="1" t="n">
        <v>-6.661184386</v>
      </c>
      <c r="L16" s="1" t="n">
        <v>32.27466514</v>
      </c>
      <c r="M16" s="1" t="n">
        <v>55.567879829</v>
      </c>
      <c r="O16" s="5" t="n">
        <v>37681</v>
      </c>
    </row>
    <row r="17" customFormat="false" ht="15" hidden="false" customHeight="false" outlineLevel="0" collapsed="false">
      <c r="A17" s="5" t="n">
        <v>37712</v>
      </c>
      <c r="B17" s="3" t="n">
        <f aca="false">YEAR(A17)</f>
        <v>2003</v>
      </c>
      <c r="C17" s="3" t="n">
        <f aca="false">MONTH(A17)</f>
        <v>4</v>
      </c>
      <c r="D17" s="1" t="n">
        <v>64.40577133</v>
      </c>
      <c r="E17" s="1" t="n">
        <v>183.14203865</v>
      </c>
      <c r="F17" s="1" t="n">
        <v>507.719857033</v>
      </c>
      <c r="G17" s="1" t="n">
        <v>530.589262189</v>
      </c>
      <c r="H17" s="1" t="n">
        <v>-31.033169267</v>
      </c>
      <c r="I17" s="1" t="n">
        <v>438.901892432</v>
      </c>
      <c r="J17" s="1" t="n">
        <v>501.949053103</v>
      </c>
      <c r="K17" s="1" t="n">
        <v>16.56046501</v>
      </c>
      <c r="L17" s="1" t="n">
        <v>28.607398799</v>
      </c>
      <c r="M17" s="1" t="n">
        <v>55.86308608</v>
      </c>
      <c r="O17" s="5" t="n">
        <v>37712</v>
      </c>
    </row>
    <row r="18" customFormat="false" ht="15" hidden="false" customHeight="false" outlineLevel="0" collapsed="false">
      <c r="A18" s="5" t="n">
        <v>37742</v>
      </c>
      <c r="B18" s="3" t="n">
        <f aca="false">YEAR(A18)</f>
        <v>2003</v>
      </c>
      <c r="C18" s="3" t="n">
        <f aca="false">MONTH(A18)</f>
        <v>5</v>
      </c>
      <c r="D18" s="1" t="n">
        <v>64.69028328</v>
      </c>
      <c r="E18" s="1" t="n">
        <v>182.963782401</v>
      </c>
      <c r="F18" s="1" t="n">
        <v>517.725493104</v>
      </c>
      <c r="G18" s="1" t="n">
        <v>510.840760302</v>
      </c>
      <c r="H18" s="1" t="n">
        <v>-22.645097581</v>
      </c>
      <c r="I18" s="1" t="n">
        <v>461.765862098</v>
      </c>
      <c r="J18" s="1" t="n">
        <v>524.652751832</v>
      </c>
      <c r="K18" s="1" t="n">
        <v>-101.449001841</v>
      </c>
      <c r="L18" s="1" t="n">
        <v>27.77892771</v>
      </c>
      <c r="M18" s="1" t="n">
        <v>56.10986079</v>
      </c>
      <c r="O18" s="5" t="n">
        <v>37742</v>
      </c>
    </row>
    <row r="19" customFormat="false" ht="15" hidden="false" customHeight="false" outlineLevel="0" collapsed="false">
      <c r="A19" s="5" t="n">
        <v>37773</v>
      </c>
      <c r="B19" s="3" t="n">
        <f aca="false">YEAR(A19)</f>
        <v>2003</v>
      </c>
      <c r="C19" s="3" t="n">
        <f aca="false">MONTH(A19)</f>
        <v>6</v>
      </c>
      <c r="D19" s="1" t="n">
        <v>64.803867223</v>
      </c>
      <c r="E19" s="1" t="n">
        <v>183.278856286</v>
      </c>
      <c r="F19" s="1" t="n">
        <v>557.08575724</v>
      </c>
      <c r="G19" s="1" t="n">
        <v>588.014182255</v>
      </c>
      <c r="H19" s="1" t="n">
        <v>31.499279763</v>
      </c>
      <c r="I19" s="1" t="n">
        <v>497.385672133</v>
      </c>
      <c r="J19" s="1" t="n">
        <v>491.438091176</v>
      </c>
      <c r="K19" s="1" t="n">
        <v>-39.133572332</v>
      </c>
      <c r="L19" s="1" t="n">
        <v>30.966832417</v>
      </c>
      <c r="M19" s="1" t="n">
        <v>56.208379129</v>
      </c>
      <c r="O19" s="5" t="n">
        <v>37773</v>
      </c>
    </row>
    <row r="20" customFormat="false" ht="15" hidden="false" customHeight="false" outlineLevel="0" collapsed="false">
      <c r="A20" s="5" t="n">
        <v>37803</v>
      </c>
      <c r="B20" s="3" t="n">
        <f aca="false">YEAR(A20)</f>
        <v>2003</v>
      </c>
      <c r="C20" s="3" t="n">
        <f aca="false">MONTH(A20)</f>
        <v>7</v>
      </c>
      <c r="D20" s="1" t="n">
        <v>65.149544793</v>
      </c>
      <c r="E20" s="1" t="n">
        <v>183.662395038</v>
      </c>
      <c r="F20" s="1" t="n">
        <v>578.701029474</v>
      </c>
      <c r="G20" s="1" t="n">
        <v>610.330059486</v>
      </c>
      <c r="H20" s="1" t="n">
        <v>16.592163262</v>
      </c>
      <c r="I20" s="1" t="n">
        <v>510.462420763</v>
      </c>
      <c r="J20" s="1" t="n">
        <v>553.233230013</v>
      </c>
      <c r="K20" s="1" t="n">
        <v>-8.710958406</v>
      </c>
      <c r="L20" s="1" t="n">
        <v>29.882217709</v>
      </c>
      <c r="M20" s="1" t="n">
        <v>56.508206543</v>
      </c>
      <c r="O20" s="5" t="n">
        <v>37803</v>
      </c>
    </row>
    <row r="21" customFormat="false" ht="15" hidden="false" customHeight="false" outlineLevel="0" collapsed="false">
      <c r="A21" s="5" t="n">
        <v>37834</v>
      </c>
      <c r="B21" s="3" t="n">
        <f aca="false">YEAR(A21)</f>
        <v>2003</v>
      </c>
      <c r="C21" s="3" t="n">
        <f aca="false">MONTH(A21)</f>
        <v>8</v>
      </c>
      <c r="D21" s="1" t="n">
        <v>65.300901711</v>
      </c>
      <c r="E21" s="1" t="n">
        <v>184.32067133</v>
      </c>
      <c r="F21" s="1" t="n">
        <v>561.045868993</v>
      </c>
      <c r="G21" s="1" t="n">
        <v>595.259324253</v>
      </c>
      <c r="H21" s="1" t="n">
        <v>18.579073896</v>
      </c>
      <c r="I21" s="1" t="n">
        <v>487.387773362</v>
      </c>
      <c r="J21" s="1" t="n">
        <v>513.119452422</v>
      </c>
      <c r="K21" s="1" t="n">
        <v>-77.225913257</v>
      </c>
      <c r="L21" s="1" t="n">
        <v>28.650155399</v>
      </c>
      <c r="M21" s="1" t="n">
        <v>56.639487706</v>
      </c>
      <c r="O21" s="5" t="n">
        <v>37834</v>
      </c>
    </row>
    <row r="22" customFormat="false" ht="15" hidden="false" customHeight="false" outlineLevel="0" collapsed="false">
      <c r="A22" s="5" t="n">
        <v>37865</v>
      </c>
      <c r="B22" s="3" t="n">
        <f aca="false">YEAR(A22)</f>
        <v>2003</v>
      </c>
      <c r="C22" s="3" t="n">
        <f aca="false">MONTH(A22)</f>
        <v>9</v>
      </c>
      <c r="D22" s="1" t="n">
        <v>65.664228566</v>
      </c>
      <c r="E22" s="1" t="n">
        <v>184.718000462</v>
      </c>
      <c r="F22" s="1" t="n">
        <v>670.092037169</v>
      </c>
      <c r="G22" s="1" t="n">
        <v>617.742565953</v>
      </c>
      <c r="H22" s="1" t="n">
        <v>-50.732979413</v>
      </c>
      <c r="I22" s="1" t="n">
        <v>520.950953283</v>
      </c>
      <c r="J22" s="1" t="n">
        <v>497.37134925</v>
      </c>
      <c r="K22" s="1" t="n">
        <v>16.028442575</v>
      </c>
      <c r="L22" s="1" t="n">
        <v>26.803540748</v>
      </c>
      <c r="M22" s="1" t="n">
        <v>56.95462343</v>
      </c>
      <c r="O22" s="5" t="n">
        <v>37865</v>
      </c>
    </row>
    <row r="23" customFormat="false" ht="15" hidden="false" customHeight="false" outlineLevel="0" collapsed="false">
      <c r="A23" s="5" t="n">
        <v>37895</v>
      </c>
      <c r="B23" s="3" t="n">
        <f aca="false">YEAR(A23)</f>
        <v>2003</v>
      </c>
      <c r="C23" s="3" t="n">
        <f aca="false">MONTH(A23)</f>
        <v>10</v>
      </c>
      <c r="D23" s="1" t="n">
        <v>65.654204536</v>
      </c>
      <c r="E23" s="1" t="n">
        <v>184.710240175</v>
      </c>
      <c r="F23" s="1" t="n">
        <v>576.703949717</v>
      </c>
      <c r="G23" s="1" t="n">
        <v>585.278613056</v>
      </c>
      <c r="H23" s="1" t="n">
        <v>26.664811428</v>
      </c>
      <c r="I23" s="1" t="n">
        <v>574.40698319</v>
      </c>
      <c r="J23" s="1" t="n">
        <v>509.747532664</v>
      </c>
      <c r="K23" s="1" t="n">
        <v>70.693906887</v>
      </c>
      <c r="L23" s="1" t="n">
        <v>30.347136541</v>
      </c>
      <c r="M23" s="1" t="n">
        <v>56.945928972</v>
      </c>
      <c r="O23" s="5" t="n">
        <v>37895</v>
      </c>
    </row>
    <row r="24" customFormat="false" ht="15" hidden="false" customHeight="false" outlineLevel="0" collapsed="false">
      <c r="A24" s="5" t="n">
        <v>37926</v>
      </c>
      <c r="B24" s="3" t="n">
        <f aca="false">YEAR(A24)</f>
        <v>2003</v>
      </c>
      <c r="C24" s="3" t="n">
        <f aca="false">MONTH(A24)</f>
        <v>11</v>
      </c>
      <c r="D24" s="1" t="n">
        <v>65.808149448</v>
      </c>
      <c r="E24" s="1" t="n">
        <v>184.987206522</v>
      </c>
      <c r="F24" s="1" t="n">
        <v>613.763605986</v>
      </c>
      <c r="G24" s="1" t="n">
        <v>538.566374752</v>
      </c>
      <c r="H24" s="1" t="n">
        <v>-53.675776408</v>
      </c>
      <c r="I24" s="1" t="n">
        <v>574.128602015</v>
      </c>
      <c r="J24" s="1" t="n">
        <v>554.231770103</v>
      </c>
      <c r="K24" s="1" t="n">
        <v>25.261933644</v>
      </c>
      <c r="L24" s="1" t="n">
        <v>32.616815917</v>
      </c>
      <c r="M24" s="1" t="n">
        <v>57.079454861</v>
      </c>
      <c r="O24" s="5" t="n">
        <v>37926</v>
      </c>
    </row>
    <row r="25" customFormat="false" ht="15" hidden="false" customHeight="false" outlineLevel="0" collapsed="false">
      <c r="A25" s="5" t="n">
        <v>37956</v>
      </c>
      <c r="B25" s="3" t="n">
        <f aca="false">YEAR(A25)</f>
        <v>2003</v>
      </c>
      <c r="C25" s="3" t="n">
        <f aca="false">MONTH(A25)</f>
        <v>12</v>
      </c>
      <c r="D25" s="1" t="n">
        <v>65.896939459</v>
      </c>
      <c r="E25" s="1" t="n">
        <v>185.653049529</v>
      </c>
      <c r="F25" s="1" t="n">
        <v>499.195112829</v>
      </c>
      <c r="G25" s="1" t="n">
        <v>649.084793816</v>
      </c>
      <c r="H25" s="1" t="n">
        <v>277.509716029</v>
      </c>
      <c r="I25" s="1" t="n">
        <v>592.817683239</v>
      </c>
      <c r="J25" s="1" t="n">
        <v>539.935513618</v>
      </c>
      <c r="K25" s="1" t="n">
        <v>84.932891052</v>
      </c>
      <c r="L25" s="1" t="n">
        <v>34.538803568</v>
      </c>
      <c r="M25" s="1" t="n">
        <v>57.156467898</v>
      </c>
      <c r="O25" s="5" t="n">
        <v>37956</v>
      </c>
    </row>
    <row r="26" customFormat="false" ht="15" hidden="false" customHeight="false" outlineLevel="0" collapsed="false">
      <c r="A26" s="5" t="n">
        <v>37987</v>
      </c>
      <c r="B26" s="3" t="n">
        <f aca="false">YEAR(A26)</f>
        <v>2004</v>
      </c>
      <c r="C26" s="3" t="n">
        <f aca="false">MONTH(A26)</f>
        <v>1</v>
      </c>
      <c r="D26" s="1" t="n">
        <v>66.044751125</v>
      </c>
      <c r="E26" s="1" t="n">
        <v>186.224384264</v>
      </c>
      <c r="F26" s="1" t="n">
        <v>551.492243819</v>
      </c>
      <c r="G26" s="1" t="n">
        <v>633.912443378</v>
      </c>
      <c r="H26" s="1" t="n">
        <v>30.816460331</v>
      </c>
      <c r="I26" s="1" t="n">
        <v>581.250056276</v>
      </c>
      <c r="J26" s="1" t="n">
        <v>500.259246854</v>
      </c>
      <c r="K26" s="1" t="n">
        <v>73.246086816</v>
      </c>
      <c r="L26" s="1" t="n">
        <v>34.94831731</v>
      </c>
      <c r="M26" s="1" t="n">
        <v>57.284674044</v>
      </c>
      <c r="O26" s="5" t="n">
        <v>37987</v>
      </c>
    </row>
    <row r="27" customFormat="false" ht="15" hidden="false" customHeight="false" outlineLevel="0" collapsed="false">
      <c r="A27" s="5" t="n">
        <v>38018</v>
      </c>
      <c r="B27" s="3" t="n">
        <f aca="false">YEAR(A27)</f>
        <v>2004</v>
      </c>
      <c r="C27" s="3" t="n">
        <f aca="false">MONTH(A27)</f>
        <v>2</v>
      </c>
      <c r="D27" s="1" t="n">
        <v>66.309632063</v>
      </c>
      <c r="E27" s="1" t="n">
        <v>186.708796492</v>
      </c>
      <c r="F27" s="1" t="n">
        <v>623.974293456</v>
      </c>
      <c r="G27" s="1" t="n">
        <v>594.263075575</v>
      </c>
      <c r="H27" s="1" t="n">
        <v>0.10119935</v>
      </c>
      <c r="I27" s="1" t="n">
        <v>593.114660725</v>
      </c>
      <c r="J27" s="1" t="n">
        <v>561.775496249</v>
      </c>
      <c r="K27" s="1" t="n">
        <v>-37.968162274</v>
      </c>
      <c r="L27" s="1" t="n">
        <v>36.886309627</v>
      </c>
      <c r="M27" s="1" t="n">
        <v>57.514421571</v>
      </c>
      <c r="O27" s="5" t="n">
        <v>38018</v>
      </c>
    </row>
    <row r="28" customFormat="false" ht="15" hidden="false" customHeight="false" outlineLevel="0" collapsed="false">
      <c r="A28" s="5" t="n">
        <v>38047</v>
      </c>
      <c r="B28" s="3" t="n">
        <f aca="false">YEAR(A28)</f>
        <v>2004</v>
      </c>
      <c r="C28" s="3" t="n">
        <f aca="false">MONTH(A28)</f>
        <v>3</v>
      </c>
      <c r="D28" s="1" t="n">
        <v>66.625217827</v>
      </c>
      <c r="E28" s="1" t="n">
        <v>187.205383487</v>
      </c>
      <c r="F28" s="1" t="n">
        <v>612.060722142</v>
      </c>
      <c r="G28" s="1" t="n">
        <v>690.585313369</v>
      </c>
      <c r="H28" s="1" t="n">
        <v>87.29454856</v>
      </c>
      <c r="I28" s="1" t="n">
        <v>565.123505792</v>
      </c>
      <c r="J28" s="1" t="n">
        <v>598.690082541</v>
      </c>
      <c r="K28" s="1" t="n">
        <v>32.396026965</v>
      </c>
      <c r="L28" s="1" t="n">
        <v>36.281849407</v>
      </c>
      <c r="M28" s="1" t="n">
        <v>57.78814851</v>
      </c>
      <c r="O28" s="5" t="n">
        <v>38047</v>
      </c>
    </row>
    <row r="29" customFormat="false" ht="15" hidden="false" customHeight="false" outlineLevel="0" collapsed="false">
      <c r="A29" s="5" t="n">
        <v>38078</v>
      </c>
      <c r="B29" s="3" t="n">
        <f aca="false">YEAR(A29)</f>
        <v>2004</v>
      </c>
      <c r="C29" s="3" t="n">
        <f aca="false">MONTH(A29)</f>
        <v>4</v>
      </c>
      <c r="D29" s="1" t="n">
        <v>66.816075853</v>
      </c>
      <c r="E29" s="1" t="n">
        <v>187.347376454</v>
      </c>
      <c r="F29" s="1" t="n">
        <v>643.459310215</v>
      </c>
      <c r="G29" s="1" t="n">
        <v>581.571556804</v>
      </c>
      <c r="H29" s="1" t="n">
        <v>-124.876149165</v>
      </c>
      <c r="I29" s="1" t="n">
        <v>612.001313876</v>
      </c>
      <c r="J29" s="1" t="n">
        <v>709.11988331</v>
      </c>
      <c r="K29" s="1" t="n">
        <v>-39.505472853</v>
      </c>
      <c r="L29" s="1" t="n">
        <v>36.946910988</v>
      </c>
      <c r="M29" s="1" t="n">
        <v>57.953691413</v>
      </c>
      <c r="O29" s="5" t="n">
        <v>38078</v>
      </c>
    </row>
    <row r="30" customFormat="false" ht="15" hidden="false" customHeight="false" outlineLevel="0" collapsed="false">
      <c r="A30" s="5" t="n">
        <v>38108</v>
      </c>
      <c r="B30" s="3" t="n">
        <f aca="false">YEAR(A30)</f>
        <v>2004</v>
      </c>
      <c r="C30" s="3" t="n">
        <f aca="false">MONTH(A30)</f>
        <v>5</v>
      </c>
      <c r="D30" s="1" t="n">
        <v>66.657892423</v>
      </c>
      <c r="E30" s="1" t="n">
        <v>188.45425059</v>
      </c>
      <c r="F30" s="1" t="n">
        <v>632.882851689</v>
      </c>
      <c r="G30" s="1" t="n">
        <v>671.937906855</v>
      </c>
      <c r="H30" s="1" t="n">
        <v>29.558124524</v>
      </c>
      <c r="I30" s="1" t="n">
        <v>683.235018012</v>
      </c>
      <c r="J30" s="1" t="n">
        <v>530.550354846</v>
      </c>
      <c r="K30" s="1" t="n">
        <v>85.706386669</v>
      </c>
      <c r="L30" s="1" t="n">
        <v>39.771912267</v>
      </c>
      <c r="M30" s="1" t="n">
        <v>57.816489198</v>
      </c>
      <c r="O30" s="5" t="n">
        <v>38108</v>
      </c>
    </row>
    <row r="31" customFormat="false" ht="15" hidden="false" customHeight="false" outlineLevel="0" collapsed="false">
      <c r="A31" s="5" t="n">
        <v>38139</v>
      </c>
      <c r="B31" s="3" t="n">
        <f aca="false">YEAR(A31)</f>
        <v>2004</v>
      </c>
      <c r="C31" s="3" t="n">
        <f aca="false">MONTH(A31)</f>
        <v>6</v>
      </c>
      <c r="D31" s="1" t="n">
        <v>66.674057519</v>
      </c>
      <c r="E31" s="1" t="n">
        <v>189.147036621</v>
      </c>
      <c r="F31" s="1" t="n">
        <v>648.888326221</v>
      </c>
      <c r="G31" s="1" t="n">
        <v>682.834689892</v>
      </c>
      <c r="H31" s="1" t="n">
        <v>21.255631854</v>
      </c>
      <c r="I31" s="1" t="n">
        <v>636.920908301</v>
      </c>
      <c r="J31" s="1" t="n">
        <v>592.354114223</v>
      </c>
      <c r="K31" s="1" t="n">
        <v>47.310762135</v>
      </c>
      <c r="L31" s="1" t="n">
        <v>37.628422157</v>
      </c>
      <c r="M31" s="1" t="n">
        <v>57.830510179</v>
      </c>
      <c r="O31" s="5" t="n">
        <v>38139</v>
      </c>
    </row>
    <row r="32" customFormat="false" ht="15" hidden="false" customHeight="false" outlineLevel="0" collapsed="false">
      <c r="A32" s="5" t="n">
        <v>38169</v>
      </c>
      <c r="B32" s="3" t="n">
        <f aca="false">YEAR(A32)</f>
        <v>2004</v>
      </c>
      <c r="C32" s="3" t="n">
        <f aca="false">MONTH(A32)</f>
        <v>7</v>
      </c>
      <c r="D32" s="1" t="n">
        <v>66.550132763</v>
      </c>
      <c r="E32" s="1" t="n">
        <v>188.980122036</v>
      </c>
      <c r="F32" s="1" t="n">
        <v>615.19187766</v>
      </c>
      <c r="G32" s="1" t="n">
        <v>657.947601572</v>
      </c>
      <c r="H32" s="1" t="n">
        <v>14.014396248</v>
      </c>
      <c r="I32" s="1" t="n">
        <v>646.185900005</v>
      </c>
      <c r="J32" s="1" t="n">
        <v>611.501302847</v>
      </c>
      <c r="K32" s="1" t="n">
        <v>-4.605466377</v>
      </c>
      <c r="L32" s="1" t="n">
        <v>38.848138921</v>
      </c>
      <c r="M32" s="1" t="n">
        <v>57.723022618</v>
      </c>
      <c r="O32" s="5" t="n">
        <v>38169</v>
      </c>
    </row>
    <row r="33" customFormat="false" ht="15" hidden="false" customHeight="false" outlineLevel="0" collapsed="false">
      <c r="A33" s="5" t="n">
        <v>38200</v>
      </c>
      <c r="B33" s="3" t="n">
        <f aca="false">YEAR(A33)</f>
        <v>2004</v>
      </c>
      <c r="C33" s="3" t="n">
        <f aca="false">MONTH(A33)</f>
        <v>8</v>
      </c>
      <c r="D33" s="1" t="n">
        <v>66.692643954</v>
      </c>
      <c r="E33" s="1" t="n">
        <v>189.167886771</v>
      </c>
      <c r="F33" s="1" t="n">
        <v>631.77483394</v>
      </c>
      <c r="G33" s="1" t="n">
        <v>759.212113092</v>
      </c>
      <c r="H33" s="1" t="n">
        <v>127.362185809</v>
      </c>
      <c r="I33" s="1" t="n">
        <v>689.243474129</v>
      </c>
      <c r="J33" s="1" t="n">
        <v>639.68971683</v>
      </c>
      <c r="K33" s="1" t="n">
        <v>30.22799947</v>
      </c>
      <c r="L33" s="1" t="n">
        <v>41.366795767</v>
      </c>
      <c r="M33" s="1" t="n">
        <v>57.846631338</v>
      </c>
      <c r="O33" s="5" t="n">
        <v>38200</v>
      </c>
    </row>
    <row r="34" customFormat="false" ht="15" hidden="false" customHeight="false" outlineLevel="0" collapsed="false">
      <c r="A34" s="5" t="n">
        <v>38231</v>
      </c>
      <c r="B34" s="3" t="n">
        <f aca="false">YEAR(A34)</f>
        <v>2004</v>
      </c>
      <c r="C34" s="3" t="n">
        <f aca="false">MONTH(A34)</f>
        <v>9</v>
      </c>
      <c r="D34" s="1" t="n">
        <v>66.67982534</v>
      </c>
      <c r="E34" s="1" t="n">
        <v>189.338775565</v>
      </c>
      <c r="F34" s="1" t="n">
        <v>623.269713654</v>
      </c>
      <c r="G34" s="1" t="n">
        <v>718.325227808</v>
      </c>
      <c r="H34" s="1" t="n">
        <v>140.776148326</v>
      </c>
      <c r="I34" s="1" t="n">
        <v>666.966945379</v>
      </c>
      <c r="J34" s="1" t="n">
        <v>645.504188218</v>
      </c>
      <c r="K34" s="1" t="n">
        <v>66.468808838</v>
      </c>
      <c r="L34" s="1" t="n">
        <v>44.23239356</v>
      </c>
      <c r="M34" s="1" t="n">
        <v>57.835512965</v>
      </c>
      <c r="O34" s="5" t="n">
        <v>38231</v>
      </c>
    </row>
    <row r="35" customFormat="false" ht="15" hidden="false" customHeight="false" outlineLevel="0" collapsed="false">
      <c r="A35" s="5" t="n">
        <v>38261</v>
      </c>
      <c r="B35" s="3" t="n">
        <f aca="false">YEAR(A35)</f>
        <v>2004</v>
      </c>
      <c r="C35" s="3" t="n">
        <f aca="false">MONTH(A35)</f>
        <v>10</v>
      </c>
      <c r="D35" s="1" t="n">
        <v>66.873639679</v>
      </c>
      <c r="E35" s="1" t="n">
        <v>190.655970246</v>
      </c>
      <c r="F35" s="1" t="n">
        <v>604.843314661</v>
      </c>
      <c r="G35" s="1" t="n">
        <v>765.924485576</v>
      </c>
      <c r="H35" s="1" t="n">
        <v>138.612194831</v>
      </c>
      <c r="I35" s="1" t="n">
        <v>763.6314303</v>
      </c>
      <c r="J35" s="1" t="n">
        <v>660.261911476</v>
      </c>
      <c r="K35" s="1" t="n">
        <v>26.201004792</v>
      </c>
      <c r="L35" s="1" t="n">
        <v>53.384581472</v>
      </c>
      <c r="M35" s="1" t="n">
        <v>58.00362006</v>
      </c>
      <c r="O35" s="5" t="n">
        <v>38261</v>
      </c>
    </row>
    <row r="36" customFormat="false" ht="15" hidden="false" customHeight="false" outlineLevel="0" collapsed="false">
      <c r="A36" s="5" t="n">
        <v>38292</v>
      </c>
      <c r="B36" s="3" t="n">
        <f aca="false">YEAR(A36)</f>
        <v>2004</v>
      </c>
      <c r="C36" s="3" t="n">
        <f aca="false">MONTH(A36)</f>
        <v>11</v>
      </c>
      <c r="D36" s="1" t="n">
        <v>67.116289713</v>
      </c>
      <c r="E36" s="1" t="n">
        <v>191.542410704</v>
      </c>
      <c r="F36" s="1" t="n">
        <v>613.764683864</v>
      </c>
      <c r="G36" s="1" t="n">
        <v>760.573224887</v>
      </c>
      <c r="H36" s="1" t="n">
        <v>163.900646046</v>
      </c>
      <c r="I36" s="1" t="n">
        <v>663.621455692</v>
      </c>
      <c r="J36" s="1" t="n">
        <v>693.052537431</v>
      </c>
      <c r="K36" s="1" t="n">
        <v>30.264299432</v>
      </c>
      <c r="L36" s="1" t="n">
        <v>50.071173816</v>
      </c>
      <c r="M36" s="1" t="n">
        <v>58.214085357</v>
      </c>
      <c r="O36" s="5" t="n">
        <v>38292</v>
      </c>
    </row>
    <row r="37" customFormat="false" ht="15" hidden="false" customHeight="false" outlineLevel="0" collapsed="false">
      <c r="A37" s="5" t="n">
        <v>38322</v>
      </c>
      <c r="B37" s="3" t="n">
        <f aca="false">YEAR(A37)</f>
        <v>2004</v>
      </c>
      <c r="C37" s="3" t="n">
        <f aca="false">MONTH(A37)</f>
        <v>12</v>
      </c>
      <c r="D37" s="1" t="n">
        <v>67.184026336</v>
      </c>
      <c r="E37" s="1" t="n">
        <v>191.700344575</v>
      </c>
      <c r="F37" s="1" t="n">
        <v>657.130616974</v>
      </c>
      <c r="G37" s="1" t="n">
        <v>670.977579744</v>
      </c>
      <c r="H37" s="1" t="n">
        <v>97.327717784</v>
      </c>
      <c r="I37" s="1" t="n">
        <v>644.446517955</v>
      </c>
      <c r="J37" s="1" t="n">
        <v>760.223510299</v>
      </c>
      <c r="K37" s="1" t="n">
        <v>-70.566491552</v>
      </c>
      <c r="L37" s="1" t="n">
        <v>46.026889278</v>
      </c>
      <c r="M37" s="1" t="n">
        <v>58.272837495</v>
      </c>
      <c r="O37" s="5" t="n">
        <v>38322</v>
      </c>
    </row>
    <row r="38" customFormat="false" ht="15" hidden="false" customHeight="false" outlineLevel="0" collapsed="false">
      <c r="A38" s="5" t="n">
        <v>38353</v>
      </c>
      <c r="B38" s="3" t="n">
        <f aca="false">YEAR(A38)</f>
        <v>2005</v>
      </c>
      <c r="C38" s="3" t="n">
        <f aca="false">MONTH(A38)</f>
        <v>1</v>
      </c>
      <c r="D38" s="1" t="n">
        <v>67.222780804</v>
      </c>
      <c r="E38" s="1" t="n">
        <v>191.834238705</v>
      </c>
      <c r="F38" s="1" t="n">
        <v>742.187302898</v>
      </c>
      <c r="G38" s="1" t="n">
        <v>676.528476426</v>
      </c>
      <c r="H38" s="1" t="n">
        <v>-73.901640549</v>
      </c>
      <c r="I38" s="1" t="n">
        <v>709.867456078</v>
      </c>
      <c r="J38" s="1" t="n">
        <v>779.662109646</v>
      </c>
      <c r="K38" s="1" t="n">
        <v>-102.285662849</v>
      </c>
      <c r="L38" s="1" t="n">
        <v>48.900712786</v>
      </c>
      <c r="M38" s="1" t="n">
        <v>58.306451628</v>
      </c>
      <c r="O38" s="5" t="n">
        <v>38353</v>
      </c>
    </row>
    <row r="39" customFormat="false" ht="15" hidden="false" customHeight="false" outlineLevel="0" collapsed="false">
      <c r="A39" s="5" t="n">
        <v>38384</v>
      </c>
      <c r="B39" s="3" t="n">
        <f aca="false">YEAR(A39)</f>
        <v>2005</v>
      </c>
      <c r="C39" s="3" t="n">
        <f aca="false">MONTH(A39)</f>
        <v>2</v>
      </c>
      <c r="D39" s="1" t="n">
        <v>67.216567249</v>
      </c>
      <c r="E39" s="1" t="n">
        <v>192.547799748</v>
      </c>
      <c r="F39" s="1" t="n">
        <v>726.046156708</v>
      </c>
      <c r="G39" s="1" t="n">
        <v>741.723037385</v>
      </c>
      <c r="H39" s="1" t="n">
        <v>23.637206968</v>
      </c>
      <c r="I39" s="1" t="n">
        <v>748.073896418</v>
      </c>
      <c r="J39" s="1" t="n">
        <v>800.752322846</v>
      </c>
      <c r="K39" s="1" t="n">
        <v>-44.044770993</v>
      </c>
      <c r="L39" s="1" t="n">
        <v>51.241059996</v>
      </c>
      <c r="M39" s="1" t="n">
        <v>58.301062229</v>
      </c>
      <c r="O39" s="5" t="n">
        <v>38384</v>
      </c>
    </row>
    <row r="40" customFormat="false" ht="15" hidden="false" customHeight="false" outlineLevel="0" collapsed="false">
      <c r="A40" s="5" t="n">
        <v>38412</v>
      </c>
      <c r="B40" s="3" t="n">
        <f aca="false">YEAR(A40)</f>
        <v>2005</v>
      </c>
      <c r="C40" s="3" t="n">
        <f aca="false">MONTH(A40)</f>
        <v>3</v>
      </c>
      <c r="D40" s="1" t="n">
        <v>67.243314615</v>
      </c>
      <c r="E40" s="1" t="n">
        <v>193.272250414</v>
      </c>
      <c r="F40" s="1" t="n">
        <v>680.108590209</v>
      </c>
      <c r="G40" s="1" t="n">
        <v>711.673327948</v>
      </c>
      <c r="H40" s="1" t="n">
        <v>-2.774161691</v>
      </c>
      <c r="I40" s="1" t="n">
        <v>836.590422378</v>
      </c>
      <c r="J40" s="1" t="n">
        <v>716.883330751</v>
      </c>
      <c r="K40" s="1" t="n">
        <v>189.997716444</v>
      </c>
      <c r="L40" s="1" t="n">
        <v>54.924917521</v>
      </c>
      <c r="M40" s="1" t="n">
        <v>58.324261864</v>
      </c>
      <c r="O40" s="5" t="n">
        <v>38412</v>
      </c>
    </row>
    <row r="41" customFormat="false" ht="15" hidden="false" customHeight="false" outlineLevel="0" collapsed="false">
      <c r="A41" s="5" t="n">
        <v>38443</v>
      </c>
      <c r="B41" s="3" t="n">
        <f aca="false">YEAR(A41)</f>
        <v>2005</v>
      </c>
      <c r="C41" s="3" t="n">
        <f aca="false">MONTH(A41)</f>
        <v>4</v>
      </c>
      <c r="D41" s="1" t="n">
        <v>67.606030243</v>
      </c>
      <c r="E41" s="1" t="n">
        <v>194.017811219</v>
      </c>
      <c r="F41" s="1" t="n">
        <v>663.487684118</v>
      </c>
      <c r="G41" s="1" t="n">
        <v>822.57391277</v>
      </c>
      <c r="H41" s="1" t="n">
        <v>109.805841428</v>
      </c>
      <c r="I41" s="1" t="n">
        <v>758.782747853</v>
      </c>
      <c r="J41" s="1" t="n">
        <v>756.683205361</v>
      </c>
      <c r="K41" s="1" t="n">
        <v>17.143694153</v>
      </c>
      <c r="L41" s="1" t="n">
        <v>53.030354348</v>
      </c>
      <c r="M41" s="1" t="n">
        <v>58.638867434</v>
      </c>
      <c r="O41" s="5" t="n">
        <v>38443</v>
      </c>
    </row>
    <row r="42" customFormat="false" ht="15" hidden="false" customHeight="false" outlineLevel="0" collapsed="false">
      <c r="A42" s="5" t="n">
        <v>38473</v>
      </c>
      <c r="B42" s="3" t="n">
        <f aca="false">YEAR(A42)</f>
        <v>2005</v>
      </c>
      <c r="C42" s="3" t="n">
        <f aca="false">MONTH(A42)</f>
        <v>5</v>
      </c>
      <c r="D42" s="1" t="n">
        <v>67.871299014</v>
      </c>
      <c r="E42" s="1" t="n">
        <v>193.619013548</v>
      </c>
      <c r="F42" s="1" t="n">
        <v>722.799741086</v>
      </c>
      <c r="G42" s="1" t="n">
        <v>740.407978906</v>
      </c>
      <c r="H42" s="1" t="n">
        <v>-34.907542698</v>
      </c>
      <c r="I42" s="1" t="n">
        <v>781.47936187</v>
      </c>
      <c r="J42" s="1" t="n">
        <v>792.538063283</v>
      </c>
      <c r="K42" s="1" t="n">
        <v>-43.734520736</v>
      </c>
      <c r="L42" s="1" t="n">
        <v>48.36820896</v>
      </c>
      <c r="M42" s="1" t="n">
        <v>58.868951351</v>
      </c>
      <c r="O42" s="5" t="n">
        <v>38473</v>
      </c>
    </row>
    <row r="43" customFormat="false" ht="15" hidden="false" customHeight="false" outlineLevel="0" collapsed="false">
      <c r="A43" s="5" t="n">
        <v>38504</v>
      </c>
      <c r="B43" s="3" t="n">
        <f aca="false">YEAR(A43)</f>
        <v>2005</v>
      </c>
      <c r="C43" s="3" t="n">
        <f aca="false">MONTH(A43)</f>
        <v>6</v>
      </c>
      <c r="D43" s="1" t="n">
        <v>68.101974409</v>
      </c>
      <c r="E43" s="1" t="n">
        <v>193.692781589</v>
      </c>
      <c r="F43" s="1" t="n">
        <v>622.269613087</v>
      </c>
      <c r="G43" s="1" t="n">
        <v>696.437285839</v>
      </c>
      <c r="H43" s="1" t="n">
        <v>106.646796098</v>
      </c>
      <c r="I43" s="1" t="n">
        <v>854.473359404</v>
      </c>
      <c r="J43" s="1" t="n">
        <v>820.457486546</v>
      </c>
      <c r="K43" s="1" t="n">
        <v>25.751367404</v>
      </c>
      <c r="L43" s="1" t="n">
        <v>54.692505285</v>
      </c>
      <c r="M43" s="1" t="n">
        <v>59.069030307</v>
      </c>
      <c r="O43" s="5" t="n">
        <v>38504</v>
      </c>
    </row>
    <row r="44" customFormat="false" ht="15" hidden="false" customHeight="false" outlineLevel="0" collapsed="false">
      <c r="A44" s="5" t="n">
        <v>38534</v>
      </c>
      <c r="B44" s="3" t="n">
        <f aca="false">YEAR(A44)</f>
        <v>2005</v>
      </c>
      <c r="C44" s="3" t="n">
        <f aca="false">MONTH(A44)</f>
        <v>7</v>
      </c>
      <c r="D44" s="1" t="n">
        <v>68.243110466</v>
      </c>
      <c r="E44" s="1" t="n">
        <v>194.713394277</v>
      </c>
      <c r="F44" s="1" t="n">
        <v>720.430031873</v>
      </c>
      <c r="G44" s="1" t="n">
        <v>846.579224336</v>
      </c>
      <c r="H44" s="1" t="n">
        <v>98.295383101</v>
      </c>
      <c r="I44" s="1" t="n">
        <v>838.545123468</v>
      </c>
      <c r="J44" s="1" t="n">
        <v>762.474359916</v>
      </c>
      <c r="K44" s="1" t="n">
        <v>1.343895517</v>
      </c>
      <c r="L44" s="1" t="n">
        <v>55.030824938</v>
      </c>
      <c r="M44" s="1" t="n">
        <v>59.191446289</v>
      </c>
      <c r="O44" s="5" t="n">
        <v>38534</v>
      </c>
    </row>
    <row r="45" customFormat="false" ht="15" hidden="false" customHeight="false" outlineLevel="0" collapsed="false">
      <c r="A45" s="5" t="n">
        <v>38565</v>
      </c>
      <c r="B45" s="3" t="n">
        <f aca="false">YEAR(A45)</f>
        <v>2005</v>
      </c>
      <c r="C45" s="3" t="n">
        <f aca="false">MONTH(A45)</f>
        <v>8</v>
      </c>
      <c r="D45" s="1" t="n">
        <v>68.285338175</v>
      </c>
      <c r="E45" s="1" t="n">
        <v>195.941153757</v>
      </c>
      <c r="F45" s="1" t="n">
        <v>731.208701555</v>
      </c>
      <c r="G45" s="1" t="n">
        <v>759.124431598</v>
      </c>
      <c r="H45" s="1" t="n">
        <v>73.079877726</v>
      </c>
      <c r="I45" s="1" t="n">
        <v>872.716002147</v>
      </c>
      <c r="J45" s="1" t="n">
        <v>777.620262786</v>
      </c>
      <c r="K45" s="1" t="n">
        <v>121.364117991</v>
      </c>
      <c r="L45" s="1" t="n">
        <v>60.338879792</v>
      </c>
      <c r="M45" s="1" t="n">
        <v>59.228072977</v>
      </c>
      <c r="O45" s="5" t="n">
        <v>38565</v>
      </c>
    </row>
    <row r="46" customFormat="false" ht="15" hidden="false" customHeight="false" outlineLevel="0" collapsed="false">
      <c r="A46" s="5" t="n">
        <v>38596</v>
      </c>
      <c r="B46" s="3" t="n">
        <f aca="false">YEAR(A46)</f>
        <v>2005</v>
      </c>
      <c r="C46" s="3" t="n">
        <f aca="false">MONTH(A46)</f>
        <v>9</v>
      </c>
      <c r="D46" s="1" t="n">
        <v>68.605084097</v>
      </c>
      <c r="E46" s="1" t="n">
        <v>198.172019413</v>
      </c>
      <c r="F46" s="1" t="n">
        <v>1012.186064656</v>
      </c>
      <c r="G46" s="1" t="n">
        <v>740.601573975</v>
      </c>
      <c r="H46" s="1" t="n">
        <v>-231.772033679</v>
      </c>
      <c r="I46" s="1" t="n">
        <v>907.482975626</v>
      </c>
      <c r="J46" s="1" t="n">
        <v>781.807296748</v>
      </c>
      <c r="K46" s="1" t="n">
        <v>153.082575288</v>
      </c>
      <c r="L46" s="1" t="n">
        <v>63.639854217</v>
      </c>
      <c r="M46" s="1" t="n">
        <v>59.505408278</v>
      </c>
      <c r="O46" s="5" t="n">
        <v>38596</v>
      </c>
    </row>
    <row r="47" customFormat="false" ht="15" hidden="false" customHeight="false" outlineLevel="0" collapsed="false">
      <c r="A47" s="5" t="n">
        <v>38626</v>
      </c>
      <c r="B47" s="3" t="n">
        <f aca="false">YEAR(A47)</f>
        <v>2005</v>
      </c>
      <c r="C47" s="3" t="n">
        <f aca="false">MONTH(A47)</f>
        <v>10</v>
      </c>
      <c r="D47" s="1" t="n">
        <v>68.879738534</v>
      </c>
      <c r="E47" s="1" t="n">
        <v>199.036825422</v>
      </c>
      <c r="F47" s="1" t="n">
        <v>736.920532931</v>
      </c>
      <c r="G47" s="1" t="n">
        <v>744.72822325</v>
      </c>
      <c r="H47" s="1" t="n">
        <v>45.40210956</v>
      </c>
      <c r="I47" s="1" t="n">
        <v>835.617426737</v>
      </c>
      <c r="J47" s="1" t="n">
        <v>870.582270533</v>
      </c>
      <c r="K47" s="1" t="n">
        <v>-109.060379536</v>
      </c>
      <c r="L47" s="1" t="n">
        <v>62.893310161</v>
      </c>
      <c r="M47" s="1" t="n">
        <v>59.743632961</v>
      </c>
      <c r="O47" s="5" t="n">
        <v>38626</v>
      </c>
    </row>
    <row r="48" customFormat="false" ht="15" hidden="false" customHeight="false" outlineLevel="0" collapsed="false">
      <c r="A48" s="5" t="n">
        <v>38657</v>
      </c>
      <c r="B48" s="3" t="n">
        <f aca="false">YEAR(A48)</f>
        <v>2005</v>
      </c>
      <c r="C48" s="3" t="n">
        <f aca="false">MONTH(A48)</f>
        <v>11</v>
      </c>
      <c r="D48" s="1" t="n">
        <v>69.00358129</v>
      </c>
      <c r="E48" s="1" t="n">
        <v>198.222328209</v>
      </c>
      <c r="F48" s="1" t="n">
        <v>737.875746027</v>
      </c>
      <c r="G48" s="1" t="n">
        <v>816.891824879</v>
      </c>
      <c r="H48" s="1" t="n">
        <v>91.215498404</v>
      </c>
      <c r="I48" s="1" t="n">
        <v>939.947243157</v>
      </c>
      <c r="J48" s="1" t="n">
        <v>925.034348856</v>
      </c>
      <c r="K48" s="1" t="n">
        <v>97.59538426</v>
      </c>
      <c r="L48" s="1" t="n">
        <v>60.294383295</v>
      </c>
      <c r="M48" s="1" t="n">
        <v>59.851049399</v>
      </c>
      <c r="O48" s="5" t="n">
        <v>38657</v>
      </c>
    </row>
    <row r="49" customFormat="false" ht="15" hidden="false" customHeight="false" outlineLevel="0" collapsed="false">
      <c r="A49" s="5" t="n">
        <v>38687</v>
      </c>
      <c r="B49" s="3" t="n">
        <f aca="false">YEAR(A49)</f>
        <v>2005</v>
      </c>
      <c r="C49" s="3" t="n">
        <f aca="false">MONTH(A49)</f>
        <v>12</v>
      </c>
      <c r="D49" s="1" t="n">
        <v>69.311598627</v>
      </c>
      <c r="E49" s="1" t="n">
        <v>198.287545755</v>
      </c>
      <c r="F49" s="1" t="n">
        <v>763.524354248</v>
      </c>
      <c r="G49" s="1" t="n">
        <v>880.604539968</v>
      </c>
      <c r="H49" s="1" t="n">
        <v>137.35276911</v>
      </c>
      <c r="I49" s="1" t="n">
        <v>1013.913758428</v>
      </c>
      <c r="J49" s="1" t="n">
        <v>798.208209406</v>
      </c>
      <c r="K49" s="1" t="n">
        <v>209.036326064</v>
      </c>
      <c r="L49" s="1" t="n">
        <v>62.879889169</v>
      </c>
      <c r="M49" s="1" t="n">
        <v>60.118211777</v>
      </c>
      <c r="O49" s="5" t="n">
        <v>38687</v>
      </c>
    </row>
    <row r="50" customFormat="false" ht="15" hidden="false" customHeight="false" outlineLevel="0" collapsed="false">
      <c r="A50" s="5" t="n">
        <v>38718</v>
      </c>
      <c r="B50" s="3" t="n">
        <f aca="false">YEAR(A50)</f>
        <v>2006</v>
      </c>
      <c r="C50" s="3" t="n">
        <f aca="false">MONTH(A50)</f>
        <v>1</v>
      </c>
      <c r="D50" s="1" t="n">
        <v>69.498210103</v>
      </c>
      <c r="E50" s="1" t="n">
        <v>199.617296022</v>
      </c>
      <c r="F50" s="1" t="n">
        <v>769.06558712</v>
      </c>
      <c r="G50" s="1" t="n">
        <v>958.252767273</v>
      </c>
      <c r="H50" s="1" t="n">
        <v>119.407244296</v>
      </c>
      <c r="I50" s="1" t="n">
        <v>1066.140516862</v>
      </c>
      <c r="J50" s="1" t="n">
        <v>831.26916412</v>
      </c>
      <c r="K50" s="1" t="n">
        <v>225.740497415</v>
      </c>
      <c r="L50" s="1" t="n">
        <v>69.645542005</v>
      </c>
      <c r="M50" s="1" t="n">
        <v>60.280071386</v>
      </c>
      <c r="O50" s="5" t="n">
        <v>38718</v>
      </c>
    </row>
    <row r="51" customFormat="false" ht="15" hidden="false" customHeight="false" outlineLevel="0" collapsed="false">
      <c r="A51" s="5" t="n">
        <v>38749</v>
      </c>
      <c r="B51" s="3" t="n">
        <f aca="false">YEAR(A51)</f>
        <v>2006</v>
      </c>
      <c r="C51" s="3" t="n">
        <f aca="false">MONTH(A51)</f>
        <v>2</v>
      </c>
      <c r="D51" s="1" t="n">
        <v>69.796892523</v>
      </c>
      <c r="E51" s="1" t="n">
        <v>199.664145304</v>
      </c>
      <c r="F51" s="1" t="n">
        <v>762.675495412</v>
      </c>
      <c r="G51" s="1" t="n">
        <v>738.386499678</v>
      </c>
      <c r="H51" s="1" t="n">
        <v>-27.234920587</v>
      </c>
      <c r="I51" s="1" t="n">
        <v>1035.805118548</v>
      </c>
      <c r="J51" s="1" t="n">
        <v>855.10196479</v>
      </c>
      <c r="K51" s="1" t="n">
        <v>163.326181596</v>
      </c>
      <c r="L51" s="1" t="n">
        <v>66.326997826</v>
      </c>
      <c r="M51" s="1" t="n">
        <v>60.539137015</v>
      </c>
      <c r="O51" s="5" t="n">
        <v>38749</v>
      </c>
    </row>
    <row r="52" customFormat="false" ht="15" hidden="false" customHeight="false" outlineLevel="0" collapsed="false">
      <c r="A52" s="5" t="n">
        <v>38777</v>
      </c>
      <c r="B52" s="3" t="n">
        <f aca="false">YEAR(A52)</f>
        <v>2006</v>
      </c>
      <c r="C52" s="3" t="n">
        <f aca="false">MONTH(A52)</f>
        <v>3</v>
      </c>
      <c r="D52" s="1" t="n">
        <v>70.106426433</v>
      </c>
      <c r="E52" s="1" t="n">
        <v>199.906433598</v>
      </c>
      <c r="F52" s="1" t="n">
        <v>868.236519522</v>
      </c>
      <c r="G52" s="1" t="n">
        <v>933.83606821</v>
      </c>
      <c r="H52" s="1" t="n">
        <v>85.090417357</v>
      </c>
      <c r="I52" s="1" t="n">
        <v>1052.695643645</v>
      </c>
      <c r="J52" s="1" t="n">
        <v>952.476530564</v>
      </c>
      <c r="K52" s="1" t="n">
        <v>148.032569313</v>
      </c>
      <c r="L52" s="1" t="n">
        <v>64.411090002</v>
      </c>
      <c r="M52" s="1" t="n">
        <v>60.80761481</v>
      </c>
      <c r="O52" s="5" t="n">
        <v>38777</v>
      </c>
    </row>
    <row r="53" customFormat="false" ht="15" hidden="false" customHeight="false" outlineLevel="0" collapsed="false">
      <c r="A53" s="5" t="n">
        <v>38808</v>
      </c>
      <c r="B53" s="3" t="n">
        <f aca="false">YEAR(A53)</f>
        <v>2006</v>
      </c>
      <c r="C53" s="3" t="n">
        <f aca="false">MONTH(A53)</f>
        <v>4</v>
      </c>
      <c r="D53" s="1" t="n">
        <v>69.968977112</v>
      </c>
      <c r="E53" s="1" t="n">
        <v>200.979663902</v>
      </c>
      <c r="F53" s="1" t="n">
        <v>776.181648827</v>
      </c>
      <c r="G53" s="1" t="n">
        <v>950.309045477</v>
      </c>
      <c r="H53" s="1" t="n">
        <v>105.481446608</v>
      </c>
      <c r="I53" s="1" t="n">
        <v>1118.869270561</v>
      </c>
      <c r="J53" s="1" t="n">
        <v>949.369314649</v>
      </c>
      <c r="K53" s="1" t="n">
        <v>181.323203803</v>
      </c>
      <c r="L53" s="1" t="n">
        <v>69.27512869</v>
      </c>
      <c r="M53" s="1" t="n">
        <v>60.688396562</v>
      </c>
      <c r="O53" s="5" t="n">
        <v>38808</v>
      </c>
    </row>
    <row r="54" customFormat="false" ht="15" hidden="false" customHeight="false" outlineLevel="0" collapsed="false">
      <c r="A54" s="5" t="n">
        <v>38838</v>
      </c>
      <c r="B54" s="3" t="n">
        <f aca="false">YEAR(A54)</f>
        <v>2006</v>
      </c>
      <c r="C54" s="3" t="n">
        <f aca="false">MONTH(A54)</f>
        <v>5</v>
      </c>
      <c r="D54" s="1" t="n">
        <v>70.000637319</v>
      </c>
      <c r="E54" s="1" t="n">
        <v>201.620516212</v>
      </c>
      <c r="F54" s="1" t="n">
        <v>807.815612862</v>
      </c>
      <c r="G54" s="1" t="n">
        <v>1022.571286329</v>
      </c>
      <c r="H54" s="1" t="n">
        <v>224.718555913</v>
      </c>
      <c r="I54" s="1" t="n">
        <v>1067.771131971</v>
      </c>
      <c r="J54" s="1" t="n">
        <v>955.383345601</v>
      </c>
      <c r="K54" s="1" t="n">
        <v>121.361169913</v>
      </c>
      <c r="L54" s="1" t="n">
        <v>68.351560364</v>
      </c>
      <c r="M54" s="1" t="n">
        <v>60.715857406</v>
      </c>
      <c r="O54" s="5" t="n">
        <v>38838</v>
      </c>
    </row>
    <row r="55" customFormat="false" ht="15" hidden="false" customHeight="false" outlineLevel="0" collapsed="false">
      <c r="A55" s="5" t="n">
        <v>38869</v>
      </c>
      <c r="B55" s="3" t="n">
        <f aca="false">YEAR(A55)</f>
        <v>2006</v>
      </c>
      <c r="C55" s="3" t="n">
        <f aca="false">MONTH(A55)</f>
        <v>6</v>
      </c>
      <c r="D55" s="1" t="n">
        <v>69.984885066</v>
      </c>
      <c r="E55" s="1" t="n">
        <v>201.832935473</v>
      </c>
      <c r="F55" s="1" t="n">
        <v>901.380959319</v>
      </c>
      <c r="G55" s="1" t="n">
        <v>914.541219777</v>
      </c>
      <c r="H55" s="1" t="n">
        <v>34.113943987</v>
      </c>
      <c r="I55" s="1" t="n">
        <v>1014.7066409</v>
      </c>
      <c r="J55" s="1" t="n">
        <v>850.532484153</v>
      </c>
      <c r="K55" s="1" t="n">
        <v>129.842905865</v>
      </c>
      <c r="L55" s="1" t="n">
        <v>67.256945772</v>
      </c>
      <c r="M55" s="1" t="n">
        <v>60.702194509</v>
      </c>
      <c r="O55" s="5" t="n">
        <v>38869</v>
      </c>
    </row>
    <row r="56" customFormat="false" ht="15" hidden="false" customHeight="false" outlineLevel="0" collapsed="false">
      <c r="A56" s="5" t="n">
        <v>38899</v>
      </c>
      <c r="B56" s="3" t="n">
        <f aca="false">YEAR(A56)</f>
        <v>2006</v>
      </c>
      <c r="C56" s="3" t="n">
        <f aca="false">MONTH(A56)</f>
        <v>7</v>
      </c>
      <c r="D56" s="1" t="n">
        <v>70.209227954</v>
      </c>
      <c r="E56" s="1" t="n">
        <v>202.562120819</v>
      </c>
      <c r="F56" s="1" t="n">
        <v>790.663613686</v>
      </c>
      <c r="G56" s="1" t="n">
        <v>842.01541983</v>
      </c>
      <c r="H56" s="1" t="n">
        <v>72.959808539</v>
      </c>
      <c r="I56" s="1" t="n">
        <v>1030.862773504</v>
      </c>
      <c r="J56" s="1" t="n">
        <v>986.176895587</v>
      </c>
      <c r="K56" s="1" t="n">
        <v>-39.912534334</v>
      </c>
      <c r="L56" s="1" t="n">
        <v>69.412204557</v>
      </c>
      <c r="M56" s="1" t="n">
        <v>60.896780892</v>
      </c>
      <c r="O56" s="5" t="n">
        <v>38899</v>
      </c>
    </row>
    <row r="57" customFormat="false" ht="15" hidden="false" customHeight="false" outlineLevel="0" collapsed="false">
      <c r="A57" s="5" t="n">
        <v>38930</v>
      </c>
      <c r="B57" s="3" t="n">
        <f aca="false">YEAR(A57)</f>
        <v>2006</v>
      </c>
      <c r="C57" s="3" t="n">
        <f aca="false">MONTH(A57)</f>
        <v>8</v>
      </c>
      <c r="D57" s="1" t="n">
        <v>70.548757767</v>
      </c>
      <c r="E57" s="1" t="n">
        <v>203.287744068</v>
      </c>
      <c r="F57" s="1" t="n">
        <v>813.921175993</v>
      </c>
      <c r="G57" s="1" t="n">
        <v>792.757806504</v>
      </c>
      <c r="H57" s="1" t="n">
        <v>-23.201635663</v>
      </c>
      <c r="I57" s="1" t="n">
        <v>1058.904018019</v>
      </c>
      <c r="J57" s="1" t="n">
        <v>967.099052921</v>
      </c>
      <c r="K57" s="1" t="n">
        <v>141.73640599</v>
      </c>
      <c r="L57" s="1" t="n">
        <v>67.62124916</v>
      </c>
      <c r="M57" s="1" t="n">
        <v>61.191275978</v>
      </c>
      <c r="O57" s="5" t="n">
        <v>38930</v>
      </c>
    </row>
    <row r="58" customFormat="false" ht="15" hidden="false" customHeight="false" outlineLevel="0" collapsed="false">
      <c r="A58" s="5" t="n">
        <v>38961</v>
      </c>
      <c r="B58" s="3" t="n">
        <f aca="false">YEAR(A58)</f>
        <v>2006</v>
      </c>
      <c r="C58" s="3" t="n">
        <f aca="false">MONTH(A58)</f>
        <v>9</v>
      </c>
      <c r="D58" s="1" t="n">
        <v>70.771263595</v>
      </c>
      <c r="E58" s="1" t="n">
        <v>202.2120983</v>
      </c>
      <c r="F58" s="1" t="n">
        <v>839.57144043</v>
      </c>
      <c r="G58" s="1" t="n">
        <v>807.369409154</v>
      </c>
      <c r="H58" s="1" t="n">
        <v>-30.457416667</v>
      </c>
      <c r="I58" s="1" t="n">
        <v>1074.61999454</v>
      </c>
      <c r="J58" s="1" t="n">
        <v>1057.76013402</v>
      </c>
      <c r="K58" s="1" t="n">
        <v>21.888199356</v>
      </c>
      <c r="L58" s="1" t="n">
        <v>61.931483771</v>
      </c>
      <c r="M58" s="1" t="n">
        <v>61.384268965</v>
      </c>
      <c r="O58" s="5" t="n">
        <v>38961</v>
      </c>
    </row>
    <row r="59" customFormat="false" ht="15" hidden="false" customHeight="false" outlineLevel="0" collapsed="false">
      <c r="A59" s="5" t="n">
        <v>38991</v>
      </c>
      <c r="B59" s="3" t="n">
        <f aca="false">YEAR(A59)</f>
        <v>2006</v>
      </c>
      <c r="C59" s="3" t="n">
        <f aca="false">MONTH(A59)</f>
        <v>10</v>
      </c>
      <c r="D59" s="1" t="n">
        <v>71.097236889</v>
      </c>
      <c r="E59" s="1" t="n">
        <v>201.716812115</v>
      </c>
      <c r="F59" s="1" t="n">
        <v>809.103246529</v>
      </c>
      <c r="G59" s="1" t="n">
        <v>1352.956209135</v>
      </c>
      <c r="H59" s="1" t="n">
        <v>560.31163102</v>
      </c>
      <c r="I59" s="1" t="n">
        <v>1046.096920622</v>
      </c>
      <c r="J59" s="1" t="n">
        <v>964.158932334</v>
      </c>
      <c r="K59" s="1" t="n">
        <v>41.816329983</v>
      </c>
      <c r="L59" s="1" t="n">
        <v>59.58562964</v>
      </c>
      <c r="M59" s="1" t="n">
        <v>61.667005649</v>
      </c>
      <c r="O59" s="5" t="n">
        <v>38991</v>
      </c>
    </row>
    <row r="60" customFormat="false" ht="15" hidden="false" customHeight="false" outlineLevel="0" collapsed="false">
      <c r="A60" s="5" t="n">
        <v>39022</v>
      </c>
      <c r="B60" s="3" t="n">
        <f aca="false">YEAR(A60)</f>
        <v>2006</v>
      </c>
      <c r="C60" s="3" t="n">
        <f aca="false">MONTH(A60)</f>
        <v>11</v>
      </c>
      <c r="D60" s="1" t="n">
        <v>71.279192177</v>
      </c>
      <c r="E60" s="1" t="n">
        <v>202.213758327</v>
      </c>
      <c r="F60" s="1" t="n">
        <v>888.980444442</v>
      </c>
      <c r="G60" s="1" t="n">
        <v>1013.087407568</v>
      </c>
      <c r="H60" s="1" t="n">
        <v>203.034754567</v>
      </c>
      <c r="I60" s="1" t="n">
        <v>1110.031950987</v>
      </c>
      <c r="J60" s="1" t="n">
        <v>927.748068669</v>
      </c>
      <c r="K60" s="1" t="n">
        <v>267.195006388</v>
      </c>
      <c r="L60" s="1" t="n">
        <v>61.672944197</v>
      </c>
      <c r="M60" s="1" t="n">
        <v>61.824826659</v>
      </c>
      <c r="O60" s="5" t="n">
        <v>39022</v>
      </c>
    </row>
    <row r="61" customFormat="false" ht="15" hidden="false" customHeight="false" outlineLevel="0" collapsed="false">
      <c r="A61" s="5" t="n">
        <v>39052</v>
      </c>
      <c r="B61" s="3" t="n">
        <f aca="false">YEAR(A61)</f>
        <v>2006</v>
      </c>
      <c r="C61" s="3" t="n">
        <f aca="false">MONTH(A61)</f>
        <v>12</v>
      </c>
      <c r="D61" s="1" t="n">
        <v>71.334249875</v>
      </c>
      <c r="E61" s="1" t="n">
        <v>203.397387773</v>
      </c>
      <c r="F61" s="1" t="n">
        <v>858.975748169</v>
      </c>
      <c r="G61" s="1" t="n">
        <v>957.61995337</v>
      </c>
      <c r="H61" s="1" t="n">
        <v>133.249679009</v>
      </c>
      <c r="I61" s="1" t="n">
        <v>1046.522021238</v>
      </c>
      <c r="J61" s="1" t="n">
        <v>963.897631573</v>
      </c>
      <c r="K61" s="1" t="n">
        <v>72.282311937</v>
      </c>
      <c r="L61" s="1" t="n">
        <v>66.413844098</v>
      </c>
      <c r="M61" s="1" t="n">
        <v>61.872581586</v>
      </c>
      <c r="O61" s="5" t="n">
        <v>39052</v>
      </c>
    </row>
    <row r="62" customFormat="false" ht="15" hidden="false" customHeight="false" outlineLevel="0" collapsed="false">
      <c r="A62" s="5" t="n">
        <v>39083</v>
      </c>
      <c r="B62" s="3" t="n">
        <f aca="false">YEAR(A62)</f>
        <v>2007</v>
      </c>
      <c r="C62" s="3" t="n">
        <f aca="false">MONTH(A62)</f>
        <v>1</v>
      </c>
      <c r="D62" s="1" t="n">
        <v>71.366799841</v>
      </c>
      <c r="E62" s="1" t="n">
        <v>203.83464413</v>
      </c>
      <c r="F62" s="1" t="n">
        <v>796.32376722</v>
      </c>
      <c r="G62" s="1" t="n">
        <v>939.555966164</v>
      </c>
      <c r="H62" s="1" t="n">
        <v>76.555479599</v>
      </c>
      <c r="I62" s="1" t="n">
        <v>956.544405108</v>
      </c>
      <c r="J62" s="1" t="n">
        <v>999.447434138</v>
      </c>
      <c r="K62" s="1" t="n">
        <v>-10.937866125</v>
      </c>
      <c r="L62" s="1" t="n">
        <v>59.992535209</v>
      </c>
      <c r="M62" s="1" t="n">
        <v>61.900814173</v>
      </c>
      <c r="O62" s="5" t="n">
        <v>39083</v>
      </c>
    </row>
    <row r="63" customFormat="false" ht="15" hidden="false" customHeight="false" outlineLevel="0" collapsed="false">
      <c r="A63" s="5" t="n">
        <v>39114</v>
      </c>
      <c r="B63" s="3" t="n">
        <f aca="false">YEAR(A63)</f>
        <v>2007</v>
      </c>
      <c r="C63" s="3" t="n">
        <f aca="false">MONTH(A63)</f>
        <v>2</v>
      </c>
      <c r="D63" s="1" t="n">
        <v>71.214495869</v>
      </c>
      <c r="E63" s="1" t="n">
        <v>204.627363162</v>
      </c>
      <c r="F63" s="1" t="n">
        <v>850.557347955</v>
      </c>
      <c r="G63" s="1" t="n">
        <v>969.883186641</v>
      </c>
      <c r="H63" s="1" t="n">
        <v>68.274546659</v>
      </c>
      <c r="I63" s="1" t="n">
        <v>1024.722087915</v>
      </c>
      <c r="J63" s="1" t="n">
        <v>973.089566859</v>
      </c>
      <c r="K63" s="1" t="n">
        <v>41.924010267</v>
      </c>
      <c r="L63" s="1" t="n">
        <v>65.316742297</v>
      </c>
      <c r="M63" s="1" t="n">
        <v>61.768711572</v>
      </c>
      <c r="O63" s="5" t="n">
        <v>39114</v>
      </c>
    </row>
    <row r="64" customFormat="false" ht="15" hidden="false" customHeight="false" outlineLevel="0" collapsed="false">
      <c r="A64" s="5" t="n">
        <v>39142</v>
      </c>
      <c r="B64" s="3" t="n">
        <f aca="false">YEAR(A64)</f>
        <v>2007</v>
      </c>
      <c r="C64" s="3" t="n">
        <f aca="false">MONTH(A64)</f>
        <v>3</v>
      </c>
      <c r="D64" s="1" t="n">
        <v>71.141099501</v>
      </c>
      <c r="E64" s="1" t="n">
        <v>205.570179624</v>
      </c>
      <c r="F64" s="1" t="n">
        <v>819.513803828</v>
      </c>
      <c r="G64" s="1" t="n">
        <v>912.859108337</v>
      </c>
      <c r="H64" s="1" t="n">
        <v>55.542138876</v>
      </c>
      <c r="I64" s="1" t="n">
        <v>1035.545695278</v>
      </c>
      <c r="J64" s="1" t="n">
        <v>1065.831274983</v>
      </c>
      <c r="K64" s="1" t="n">
        <v>-46.439401595</v>
      </c>
      <c r="L64" s="1" t="n">
        <v>62.647819194</v>
      </c>
      <c r="M64" s="1" t="n">
        <v>61.705050389</v>
      </c>
      <c r="O64" s="5" t="n">
        <v>39142</v>
      </c>
    </row>
    <row r="65" customFormat="false" ht="15" hidden="false" customHeight="false" outlineLevel="0" collapsed="false">
      <c r="A65" s="5" t="n">
        <v>39173</v>
      </c>
      <c r="B65" s="3" t="n">
        <f aca="false">YEAR(A65)</f>
        <v>2007</v>
      </c>
      <c r="C65" s="3" t="n">
        <f aca="false">MONTH(A65)</f>
        <v>4</v>
      </c>
      <c r="D65" s="1" t="n">
        <v>70.947840702</v>
      </c>
      <c r="E65" s="1" t="n">
        <v>206.227253201</v>
      </c>
      <c r="F65" s="1" t="n">
        <v>908.624201522</v>
      </c>
      <c r="G65" s="1" t="n">
        <v>1069.572102072</v>
      </c>
      <c r="H65" s="1" t="n">
        <v>211.753214139</v>
      </c>
      <c r="I65" s="1" t="n">
        <v>1051.346756119</v>
      </c>
      <c r="J65" s="1" t="n">
        <v>978.098589751</v>
      </c>
      <c r="K65" s="1" t="n">
        <v>78.977868593</v>
      </c>
      <c r="L65" s="1" t="n">
        <v>63.036284346</v>
      </c>
      <c r="M65" s="1" t="n">
        <v>61.537425149</v>
      </c>
      <c r="O65" s="5" t="n">
        <v>39173</v>
      </c>
    </row>
    <row r="66" customFormat="false" ht="15" hidden="false" customHeight="false" outlineLevel="0" collapsed="false">
      <c r="A66" s="5" t="n">
        <v>39203</v>
      </c>
      <c r="B66" s="3" t="n">
        <f aca="false">YEAR(A66)</f>
        <v>2007</v>
      </c>
      <c r="C66" s="3" t="n">
        <f aca="false">MONTH(A66)</f>
        <v>5</v>
      </c>
      <c r="D66" s="1" t="n">
        <v>71.087199361</v>
      </c>
      <c r="E66" s="1" t="n">
        <v>207.006994429</v>
      </c>
      <c r="F66" s="1" t="n">
        <v>907.501735505</v>
      </c>
      <c r="G66" s="1" t="n">
        <v>965.867313174</v>
      </c>
      <c r="H66" s="1" t="n">
        <v>-20.757561503</v>
      </c>
      <c r="I66" s="1" t="n">
        <v>1036.5728293</v>
      </c>
      <c r="J66" s="1" t="n">
        <v>999.796886213</v>
      </c>
      <c r="K66" s="1" t="n">
        <v>61.081425587</v>
      </c>
      <c r="L66" s="1" t="n">
        <v>59.761133745</v>
      </c>
      <c r="M66" s="1" t="n">
        <v>61.658299483</v>
      </c>
      <c r="O66" s="5" t="n">
        <v>39203</v>
      </c>
    </row>
    <row r="67" customFormat="false" ht="15" hidden="false" customHeight="false" outlineLevel="0" collapsed="false">
      <c r="A67" s="5" t="n">
        <v>39234</v>
      </c>
      <c r="B67" s="3" t="n">
        <f aca="false">YEAR(A67)</f>
        <v>2007</v>
      </c>
      <c r="C67" s="3" t="n">
        <f aca="false">MONTH(A67)</f>
        <v>6</v>
      </c>
      <c r="D67" s="1" t="n">
        <v>71.493286758</v>
      </c>
      <c r="E67" s="1" t="n">
        <v>207.083050863</v>
      </c>
      <c r="F67" s="1" t="n">
        <v>975.899829702</v>
      </c>
      <c r="G67" s="1" t="n">
        <v>1010.099960683</v>
      </c>
      <c r="H67" s="1" t="n">
        <v>45.19754373</v>
      </c>
      <c r="I67" s="1" t="n">
        <v>1126.132463912</v>
      </c>
      <c r="J67" s="1" t="n">
        <v>981.997542154</v>
      </c>
      <c r="K67" s="1" t="n">
        <v>87.288322282</v>
      </c>
      <c r="L67" s="1" t="n">
        <v>62.095536874</v>
      </c>
      <c r="M67" s="1" t="n">
        <v>62.010524055</v>
      </c>
      <c r="O67" s="5" t="n">
        <v>39234</v>
      </c>
    </row>
    <row r="68" customFormat="false" ht="15" hidden="false" customHeight="false" outlineLevel="0" collapsed="false">
      <c r="A68" s="5" t="n">
        <v>39264</v>
      </c>
      <c r="B68" s="3" t="n">
        <f aca="false">YEAR(A68)</f>
        <v>2007</v>
      </c>
      <c r="C68" s="3" t="n">
        <f aca="false">MONTH(A68)</f>
        <v>7</v>
      </c>
      <c r="D68" s="1" t="n">
        <v>71.9722867</v>
      </c>
      <c r="E68" s="1" t="n">
        <v>207.169724493</v>
      </c>
      <c r="F68" s="1" t="n">
        <v>1038.900419476</v>
      </c>
      <c r="G68" s="1" t="n">
        <v>1193.257098822</v>
      </c>
      <c r="H68" s="1" t="n">
        <v>181.472164587</v>
      </c>
      <c r="I68" s="1" t="n">
        <v>1331.526456429</v>
      </c>
      <c r="J68" s="1" t="n">
        <v>1070.637099313</v>
      </c>
      <c r="K68" s="1" t="n">
        <v>203.30035791</v>
      </c>
      <c r="L68" s="1" t="n">
        <v>68.274806705</v>
      </c>
      <c r="M68" s="1" t="n">
        <v>62.42599016</v>
      </c>
      <c r="O68" s="5" t="n">
        <v>39264</v>
      </c>
    </row>
    <row r="69" customFormat="false" ht="15" hidden="false" customHeight="false" outlineLevel="0" collapsed="false">
      <c r="A69" s="5" t="n">
        <v>39295</v>
      </c>
      <c r="B69" s="3" t="n">
        <f aca="false">YEAR(A69)</f>
        <v>2007</v>
      </c>
      <c r="C69" s="3" t="n">
        <f aca="false">MONTH(A69)</f>
        <v>8</v>
      </c>
      <c r="D69" s="1" t="n">
        <v>72.244900183</v>
      </c>
      <c r="E69" s="1" t="n">
        <v>207.1347004</v>
      </c>
      <c r="F69" s="1" t="n">
        <v>1277.313926662</v>
      </c>
      <c r="G69" s="1" t="n">
        <v>1311.786904419</v>
      </c>
      <c r="H69" s="1" t="n">
        <v>55.643378831</v>
      </c>
      <c r="I69" s="1" t="n">
        <v>1102.863428049</v>
      </c>
      <c r="J69" s="1" t="n">
        <v>1045.246335274</v>
      </c>
      <c r="K69" s="1" t="n">
        <v>114.320682887</v>
      </c>
      <c r="L69" s="1" t="n">
        <v>66.569138225</v>
      </c>
      <c r="M69" s="1" t="n">
        <v>62.662444599</v>
      </c>
      <c r="O69" s="5" t="n">
        <v>39295</v>
      </c>
    </row>
    <row r="70" customFormat="false" ht="15" hidden="false" customHeight="false" outlineLevel="0" collapsed="false">
      <c r="A70" s="5" t="n">
        <v>39326</v>
      </c>
      <c r="B70" s="3" t="n">
        <f aca="false">YEAR(A70)</f>
        <v>2007</v>
      </c>
      <c r="C70" s="3" t="n">
        <f aca="false">MONTH(A70)</f>
        <v>9</v>
      </c>
      <c r="D70" s="1" t="n">
        <v>72.587633057</v>
      </c>
      <c r="E70" s="1" t="n">
        <v>207.801792618</v>
      </c>
      <c r="F70" s="1" t="n">
        <v>1115.153321996</v>
      </c>
      <c r="G70" s="1" t="n">
        <v>1321.464307661</v>
      </c>
      <c r="H70" s="1" t="n">
        <v>167.231440053</v>
      </c>
      <c r="I70" s="1" t="n">
        <v>1265.804196258</v>
      </c>
      <c r="J70" s="1" t="n">
        <v>1133.34446128</v>
      </c>
      <c r="K70" s="1" t="n">
        <v>121.80600437</v>
      </c>
      <c r="L70" s="1" t="n">
        <v>78.747818944</v>
      </c>
      <c r="M70" s="1" t="n">
        <v>62.959717896</v>
      </c>
      <c r="O70" s="5" t="n">
        <v>39326</v>
      </c>
    </row>
    <row r="71" customFormat="false" ht="15" hidden="false" customHeight="false" outlineLevel="0" collapsed="false">
      <c r="A71" s="5" t="n">
        <v>39356</v>
      </c>
      <c r="B71" s="3" t="n">
        <f aca="false">YEAR(A71)</f>
        <v>2007</v>
      </c>
      <c r="C71" s="3" t="n">
        <f aca="false">MONTH(A71)</f>
        <v>10</v>
      </c>
      <c r="D71" s="1" t="n">
        <v>72.794653173</v>
      </c>
      <c r="E71" s="1" t="n">
        <v>208.961239966</v>
      </c>
      <c r="F71" s="1" t="n">
        <v>1177.613169942</v>
      </c>
      <c r="G71" s="1" t="n">
        <v>1194.57180603</v>
      </c>
      <c r="H71" s="1" t="n">
        <v>111.51852478</v>
      </c>
      <c r="I71" s="1" t="n">
        <v>1422.493468718</v>
      </c>
      <c r="J71" s="1" t="n">
        <v>1147.083454181</v>
      </c>
      <c r="K71" s="1" t="n">
        <v>270.335067087</v>
      </c>
      <c r="L71" s="1" t="n">
        <v>87.107835864</v>
      </c>
      <c r="M71" s="1" t="n">
        <v>63.139279174</v>
      </c>
      <c r="O71" s="5" t="n">
        <v>39356</v>
      </c>
    </row>
    <row r="72" customFormat="false" ht="15" hidden="false" customHeight="false" outlineLevel="0" collapsed="false">
      <c r="A72" s="5" t="n">
        <v>39387</v>
      </c>
      <c r="B72" s="3" t="n">
        <f aca="false">YEAR(A72)</f>
        <v>2007</v>
      </c>
      <c r="C72" s="3" t="n">
        <f aca="false">MONTH(A72)</f>
        <v>11</v>
      </c>
      <c r="D72" s="1" t="n">
        <v>73.266020897</v>
      </c>
      <c r="E72" s="1" t="n">
        <v>210.988491205</v>
      </c>
      <c r="F72" s="1" t="n">
        <v>1167.950398107</v>
      </c>
      <c r="G72" s="1" t="n">
        <v>1358.30250795</v>
      </c>
      <c r="H72" s="1" t="n">
        <v>242.354781324</v>
      </c>
      <c r="I72" s="1" t="n">
        <v>1476.274981765</v>
      </c>
      <c r="J72" s="1" t="n">
        <v>1215.670390963</v>
      </c>
      <c r="K72" s="1" t="n">
        <v>282.332419828</v>
      </c>
      <c r="L72" s="1" t="n">
        <v>97.897377392</v>
      </c>
      <c r="M72" s="1" t="n">
        <v>63.548125387</v>
      </c>
      <c r="O72" s="5" t="n">
        <v>39387</v>
      </c>
    </row>
    <row r="73" customFormat="false" ht="15" hidden="false" customHeight="false" outlineLevel="0" collapsed="false">
      <c r="A73" s="5" t="n">
        <v>39417</v>
      </c>
      <c r="B73" s="3" t="n">
        <f aca="false">YEAR(A73)</f>
        <v>2007</v>
      </c>
      <c r="C73" s="3" t="n">
        <f aca="false">MONTH(A73)</f>
        <v>12</v>
      </c>
      <c r="D73" s="1" t="n">
        <v>73.725731409</v>
      </c>
      <c r="E73" s="1" t="n">
        <v>211.699751398</v>
      </c>
      <c r="F73" s="1" t="n">
        <v>1122.127173123</v>
      </c>
      <c r="G73" s="1" t="n">
        <v>1360.917402299</v>
      </c>
      <c r="H73" s="1" t="n">
        <v>273.123493011</v>
      </c>
      <c r="I73" s="1" t="n">
        <v>1505.973621169</v>
      </c>
      <c r="J73" s="1" t="n">
        <v>1259.024331125</v>
      </c>
      <c r="K73" s="1" t="n">
        <v>243.707988885</v>
      </c>
      <c r="L73" s="1" t="n">
        <v>96.082328863</v>
      </c>
      <c r="M73" s="1" t="n">
        <v>63.946860584</v>
      </c>
      <c r="O73" s="5" t="n">
        <v>39417</v>
      </c>
    </row>
    <row r="74" customFormat="false" ht="15" hidden="false" customHeight="false" outlineLevel="0" collapsed="false">
      <c r="A74" s="5" t="n">
        <v>39448</v>
      </c>
      <c r="B74" s="3" t="n">
        <f aca="false">YEAR(A74)</f>
        <v>2008</v>
      </c>
      <c r="C74" s="3" t="n">
        <f aca="false">MONTH(A74)</f>
        <v>1</v>
      </c>
      <c r="D74" s="1" t="n">
        <v>74.337817012</v>
      </c>
      <c r="E74" s="1" t="n">
        <v>212.571343801</v>
      </c>
      <c r="F74" s="1" t="n">
        <v>1323.987586894</v>
      </c>
      <c r="G74" s="1" t="n">
        <v>1399.704078153</v>
      </c>
      <c r="H74" s="1" t="n">
        <v>-6.530686782</v>
      </c>
      <c r="I74" s="1" t="n">
        <v>1689.614616085</v>
      </c>
      <c r="J74" s="1" t="n">
        <v>1278.690154306</v>
      </c>
      <c r="K74" s="1" t="n">
        <v>389.142827491</v>
      </c>
      <c r="L74" s="1" t="n">
        <v>99.67574513</v>
      </c>
      <c r="M74" s="1" t="n">
        <v>64.477760067</v>
      </c>
      <c r="O74" s="5" t="n">
        <v>39448</v>
      </c>
    </row>
    <row r="75" customFormat="false" ht="15" hidden="false" customHeight="false" outlineLevel="0" collapsed="false">
      <c r="A75" s="5" t="n">
        <v>39479</v>
      </c>
      <c r="B75" s="3" t="n">
        <f aca="false">YEAR(A75)</f>
        <v>2008</v>
      </c>
      <c r="C75" s="3" t="n">
        <f aca="false">MONTH(A75)</f>
        <v>2</v>
      </c>
      <c r="D75" s="1" t="n">
        <v>74.836065083</v>
      </c>
      <c r="E75" s="1" t="n">
        <v>212.856906216</v>
      </c>
      <c r="F75" s="1" t="n">
        <v>1302.354067435</v>
      </c>
      <c r="G75" s="1" t="n">
        <v>1985.061853593</v>
      </c>
      <c r="H75" s="1" t="n">
        <v>559.163385005</v>
      </c>
      <c r="I75" s="1" t="n">
        <v>1794.731976778</v>
      </c>
      <c r="J75" s="1" t="n">
        <v>1247.703575632</v>
      </c>
      <c r="K75" s="1" t="n">
        <v>426.2490643</v>
      </c>
      <c r="L75" s="1" t="n">
        <v>102.086417446</v>
      </c>
      <c r="M75" s="1" t="n">
        <v>64.909921259</v>
      </c>
      <c r="O75" s="5" t="n">
        <v>39479</v>
      </c>
    </row>
    <row r="76" customFormat="false" ht="15" hidden="false" customHeight="false" outlineLevel="0" collapsed="false">
      <c r="A76" s="5" t="n">
        <v>39508</v>
      </c>
      <c r="B76" s="3" t="n">
        <f aca="false">YEAR(A76)</f>
        <v>2008</v>
      </c>
      <c r="C76" s="3" t="n">
        <f aca="false">MONTH(A76)</f>
        <v>3</v>
      </c>
      <c r="D76" s="1" t="n">
        <v>75.823479095</v>
      </c>
      <c r="E76" s="1" t="n">
        <v>213.728124405</v>
      </c>
      <c r="F76" s="1" t="n">
        <v>1370.471893564</v>
      </c>
      <c r="G76" s="1" t="n">
        <v>1699.427630323</v>
      </c>
      <c r="H76" s="1" t="n">
        <v>319.333261992</v>
      </c>
      <c r="I76" s="1" t="n">
        <v>1395.565061932</v>
      </c>
      <c r="J76" s="1" t="n">
        <v>1328.093521827</v>
      </c>
      <c r="K76" s="1" t="n">
        <v>52.707895874</v>
      </c>
      <c r="L76" s="1" t="n">
        <v>106.6681784</v>
      </c>
      <c r="M76" s="1" t="n">
        <v>65.766366152</v>
      </c>
      <c r="O76" s="5" t="n">
        <v>39508</v>
      </c>
    </row>
    <row r="77" customFormat="false" ht="15" hidden="false" customHeight="false" outlineLevel="0" collapsed="false">
      <c r="A77" s="5" t="n">
        <v>39539</v>
      </c>
      <c r="B77" s="3" t="n">
        <f aca="false">YEAR(A77)</f>
        <v>2008</v>
      </c>
      <c r="C77" s="3" t="n">
        <f aca="false">MONTH(A77)</f>
        <v>4</v>
      </c>
      <c r="D77" s="1" t="n">
        <v>76.76631847</v>
      </c>
      <c r="E77" s="1" t="n">
        <v>214.367503072</v>
      </c>
      <c r="F77" s="1" t="n">
        <v>1772.078032517</v>
      </c>
      <c r="G77" s="1" t="n">
        <v>1652.829748023</v>
      </c>
      <c r="H77" s="1" t="n">
        <v>39.456720787</v>
      </c>
      <c r="I77" s="1" t="n">
        <v>1567.674607389</v>
      </c>
      <c r="J77" s="1" t="n">
        <v>1444.903588138</v>
      </c>
      <c r="K77" s="1" t="n">
        <v>185.715533641</v>
      </c>
      <c r="L77" s="1" t="n">
        <v>110.78766989</v>
      </c>
      <c r="M77" s="1" t="n">
        <v>66.584148721</v>
      </c>
      <c r="O77" s="5" t="n">
        <v>39539</v>
      </c>
    </row>
    <row r="78" customFormat="false" ht="15" hidden="false" customHeight="false" outlineLevel="0" collapsed="false">
      <c r="A78" s="5" t="n">
        <v>39569</v>
      </c>
      <c r="B78" s="3" t="n">
        <f aca="false">YEAR(A78)</f>
        <v>2008</v>
      </c>
      <c r="C78" s="3" t="n">
        <f aca="false">MONTH(A78)</f>
        <v>5</v>
      </c>
      <c r="D78" s="1" t="n">
        <v>77.693318962</v>
      </c>
      <c r="E78" s="1" t="n">
        <v>215.657748218</v>
      </c>
      <c r="F78" s="1" t="n">
        <v>1745.859231108</v>
      </c>
      <c r="G78" s="1" t="n">
        <v>2030.045833657</v>
      </c>
      <c r="H78" s="1" t="n">
        <v>243.311979415</v>
      </c>
      <c r="I78" s="1" t="n">
        <v>1900.14227091</v>
      </c>
      <c r="J78" s="1" t="n">
        <v>1238.607168322</v>
      </c>
      <c r="K78" s="1" t="n">
        <v>669.311699424</v>
      </c>
      <c r="L78" s="1" t="n">
        <v>120.862084321</v>
      </c>
      <c r="M78" s="1" t="n">
        <v>67.388193254</v>
      </c>
      <c r="O78" s="5" t="n">
        <v>39569</v>
      </c>
    </row>
    <row r="79" customFormat="false" ht="15" hidden="false" customHeight="false" outlineLevel="0" collapsed="false">
      <c r="A79" s="5" t="n">
        <v>39600</v>
      </c>
      <c r="B79" s="3" t="n">
        <f aca="false">YEAR(A79)</f>
        <v>2008</v>
      </c>
      <c r="C79" s="3" t="n">
        <f aca="false">MONTH(A79)</f>
        <v>6</v>
      </c>
      <c r="D79" s="1" t="n">
        <v>78.433342326</v>
      </c>
      <c r="E79" s="1" t="n">
        <v>217.498738462</v>
      </c>
      <c r="F79" s="1" t="n">
        <v>1801.098791015</v>
      </c>
      <c r="G79" s="1" t="n">
        <v>1812.919034462</v>
      </c>
      <c r="H79" s="1" t="n">
        <v>130.405561279</v>
      </c>
      <c r="I79" s="1" t="n">
        <v>1795.325906932</v>
      </c>
      <c r="J79" s="1" t="n">
        <v>1644.796046987</v>
      </c>
      <c r="K79" s="1" t="n">
        <v>177.843040196</v>
      </c>
      <c r="L79" s="1" t="n">
        <v>127.74171921</v>
      </c>
      <c r="M79" s="1" t="n">
        <v>68.030061025</v>
      </c>
      <c r="O79" s="5" t="n">
        <v>39600</v>
      </c>
    </row>
    <row r="80" customFormat="false" ht="15" hidden="false" customHeight="false" outlineLevel="0" collapsed="false">
      <c r="A80" s="5" t="n">
        <v>39630</v>
      </c>
      <c r="B80" s="3" t="n">
        <f aca="false">YEAR(A80)</f>
        <v>2008</v>
      </c>
      <c r="C80" s="3" t="n">
        <f aca="false">MONTH(A80)</f>
        <v>7</v>
      </c>
      <c r="D80" s="1" t="n">
        <v>79.055066355</v>
      </c>
      <c r="E80" s="1" t="n">
        <v>218.806103914</v>
      </c>
      <c r="F80" s="1" t="n">
        <v>2238.250516897</v>
      </c>
      <c r="G80" s="1" t="n">
        <v>2043.287303938</v>
      </c>
      <c r="H80" s="1" t="n">
        <v>-39.014296572</v>
      </c>
      <c r="I80" s="1" t="n">
        <v>1767.723284805</v>
      </c>
      <c r="J80" s="1" t="n">
        <v>1594.448433226</v>
      </c>
      <c r="K80" s="1" t="n">
        <v>125.301090397</v>
      </c>
      <c r="L80" s="1" t="n">
        <v>127.688104806</v>
      </c>
      <c r="M80" s="1" t="n">
        <v>68.569320508</v>
      </c>
      <c r="O80" s="5" t="n">
        <v>39630</v>
      </c>
    </row>
    <row r="81" customFormat="false" ht="15" hidden="false" customHeight="false" outlineLevel="0" collapsed="false">
      <c r="A81" s="5" t="n">
        <v>39661</v>
      </c>
      <c r="B81" s="3" t="n">
        <f aca="false">YEAR(A81)</f>
        <v>2008</v>
      </c>
      <c r="C81" s="3" t="n">
        <f aca="false">MONTH(A81)</f>
        <v>8</v>
      </c>
      <c r="D81" s="1" t="n">
        <v>79.466850407</v>
      </c>
      <c r="E81" s="1" t="n">
        <v>218.21582974</v>
      </c>
      <c r="F81" s="1" t="n">
        <v>2043.856986657</v>
      </c>
      <c r="G81" s="1" t="n">
        <v>2537.699587448</v>
      </c>
      <c r="H81" s="1" t="n">
        <v>279.516597358</v>
      </c>
      <c r="I81" s="1" t="n">
        <v>1703.204307565</v>
      </c>
      <c r="J81" s="1" t="n">
        <v>1832.948930308</v>
      </c>
      <c r="K81" s="1" t="n">
        <v>-43.965863731</v>
      </c>
      <c r="L81" s="1" t="n">
        <v>111.505161097</v>
      </c>
      <c r="M81" s="1" t="n">
        <v>68.926486138</v>
      </c>
      <c r="O81" s="5" t="n">
        <v>39661</v>
      </c>
    </row>
    <row r="82" customFormat="false" ht="15" hidden="false" customHeight="false" outlineLevel="0" collapsed="false">
      <c r="A82" s="5" t="n">
        <v>39692</v>
      </c>
      <c r="B82" s="3" t="n">
        <f aca="false">YEAR(A82)</f>
        <v>2008</v>
      </c>
      <c r="C82" s="3" t="n">
        <f aca="false">MONTH(A82)</f>
        <v>9</v>
      </c>
      <c r="D82" s="1" t="n">
        <v>79.815925223</v>
      </c>
      <c r="E82" s="1" t="n">
        <v>218.139789758</v>
      </c>
      <c r="F82" s="1" t="n">
        <v>1915.481856428</v>
      </c>
      <c r="G82" s="1" t="n">
        <v>1810.787257447</v>
      </c>
      <c r="H82" s="1" t="n">
        <v>-85.871195567</v>
      </c>
      <c r="I82" s="1" t="n">
        <v>1540.473313604</v>
      </c>
      <c r="J82" s="1" t="n">
        <v>1586.321878458</v>
      </c>
      <c r="K82" s="1" t="n">
        <v>-85.564020697</v>
      </c>
      <c r="L82" s="1" t="n">
        <v>103.939860998</v>
      </c>
      <c r="M82" s="1" t="n">
        <v>69.229260193</v>
      </c>
      <c r="O82" s="5" t="n">
        <v>39692</v>
      </c>
    </row>
    <row r="83" customFormat="false" ht="15" hidden="false" customHeight="false" outlineLevel="0" collapsed="false">
      <c r="A83" s="5" t="n">
        <v>39722</v>
      </c>
      <c r="B83" s="3" t="n">
        <f aca="false">YEAR(A83)</f>
        <v>2008</v>
      </c>
      <c r="C83" s="3" t="n">
        <f aca="false">MONTH(A83)</f>
        <v>10</v>
      </c>
      <c r="D83" s="1" t="n">
        <v>79.978282091</v>
      </c>
      <c r="E83" s="1" t="n">
        <v>216.689724177</v>
      </c>
      <c r="F83" s="1" t="n">
        <v>2042.644777623</v>
      </c>
      <c r="G83" s="1" t="n">
        <v>2028.482338782</v>
      </c>
      <c r="H83" s="1" t="n">
        <v>51.501225176</v>
      </c>
      <c r="I83" s="1" t="n">
        <v>1265.046509718</v>
      </c>
      <c r="J83" s="1" t="n">
        <v>1577.243289662</v>
      </c>
      <c r="K83" s="1" t="n">
        <v>-353.723634486</v>
      </c>
      <c r="L83" s="1" t="n">
        <v>78.369895095</v>
      </c>
      <c r="M83" s="1" t="n">
        <v>69.370082289</v>
      </c>
      <c r="O83" s="5" t="n">
        <v>39722</v>
      </c>
    </row>
    <row r="84" customFormat="false" ht="15" hidden="false" customHeight="false" outlineLevel="0" collapsed="false">
      <c r="A84" s="5" t="n">
        <v>39753</v>
      </c>
      <c r="B84" s="3" t="n">
        <f aca="false">YEAR(A84)</f>
        <v>2008</v>
      </c>
      <c r="C84" s="3" t="n">
        <f aca="false">MONTH(A84)</f>
        <v>11</v>
      </c>
      <c r="D84" s="1" t="n">
        <v>79.978589812</v>
      </c>
      <c r="E84" s="1" t="n">
        <v>213.269504093</v>
      </c>
      <c r="F84" s="1" t="n">
        <v>1883.321654033</v>
      </c>
      <c r="G84" s="1" t="n">
        <v>1685.932693437</v>
      </c>
      <c r="H84" s="1" t="n">
        <v>-170.607670361</v>
      </c>
      <c r="I84" s="1" t="n">
        <v>1131.564736651</v>
      </c>
      <c r="J84" s="1" t="n">
        <v>1479.879737808</v>
      </c>
      <c r="K84" s="1" t="n">
        <v>-311.602543257</v>
      </c>
      <c r="L84" s="1" t="n">
        <v>60.356570359</v>
      </c>
      <c r="M84" s="1" t="n">
        <v>69.370349194</v>
      </c>
      <c r="O84" s="5" t="n">
        <v>39753</v>
      </c>
    </row>
    <row r="85" customFormat="false" ht="15" hidden="false" customHeight="false" outlineLevel="0" collapsed="false">
      <c r="A85" s="5" t="n">
        <v>39783</v>
      </c>
      <c r="B85" s="3" t="n">
        <f aca="false">YEAR(A85)</f>
        <v>2008</v>
      </c>
      <c r="C85" s="3" t="n">
        <f aca="false">MONTH(A85)</f>
        <v>12</v>
      </c>
      <c r="D85" s="1" t="n">
        <v>80.217735868</v>
      </c>
      <c r="E85" s="1" t="n">
        <v>211.916126372</v>
      </c>
      <c r="F85" s="1" t="n">
        <v>2057.140744324</v>
      </c>
      <c r="G85" s="1" t="n">
        <v>1501.660166856</v>
      </c>
      <c r="H85" s="1" t="n">
        <v>-794.563280013</v>
      </c>
      <c r="I85" s="1" t="n">
        <v>916.454130616</v>
      </c>
      <c r="J85" s="1" t="n">
        <v>1355.949342251</v>
      </c>
      <c r="K85" s="1" t="n">
        <v>-389.735538027</v>
      </c>
      <c r="L85" s="1" t="n">
        <v>46.011322404</v>
      </c>
      <c r="M85" s="1" t="n">
        <v>69.577775274</v>
      </c>
      <c r="O85" s="5" t="n">
        <v>39783</v>
      </c>
    </row>
    <row r="86" customFormat="false" ht="15" hidden="false" customHeight="false" outlineLevel="0" collapsed="false">
      <c r="A86" s="5" t="n">
        <v>39814</v>
      </c>
      <c r="B86" s="3" t="n">
        <f aca="false">YEAR(A86)</f>
        <v>2009</v>
      </c>
      <c r="C86" s="3" t="n">
        <f aca="false">MONTH(A86)</f>
        <v>1</v>
      </c>
      <c r="D86" s="1" t="n">
        <v>80.522151676</v>
      </c>
      <c r="E86" s="1" t="n">
        <v>212.592034857</v>
      </c>
      <c r="F86" s="1" t="n">
        <v>1479.728623679</v>
      </c>
      <c r="G86" s="1" t="n">
        <v>1207.12064497</v>
      </c>
      <c r="H86" s="1" t="n">
        <v>-434.382150604</v>
      </c>
      <c r="I86" s="1" t="n">
        <v>942.696209091</v>
      </c>
      <c r="J86" s="1" t="n">
        <v>1246.84665484</v>
      </c>
      <c r="K86" s="1" t="n">
        <v>-315.570674512</v>
      </c>
      <c r="L86" s="1" t="n">
        <v>48.045872175</v>
      </c>
      <c r="M86" s="1" t="n">
        <v>69.841813825</v>
      </c>
      <c r="O86" s="5" t="n">
        <v>39814</v>
      </c>
    </row>
    <row r="87" customFormat="false" ht="15" hidden="false" customHeight="false" outlineLevel="0" collapsed="false">
      <c r="A87" s="5" t="n">
        <v>39845</v>
      </c>
      <c r="B87" s="3" t="n">
        <f aca="false">YEAR(A87)</f>
        <v>2009</v>
      </c>
      <c r="C87" s="3" t="n">
        <f aca="false">MONTH(A87)</f>
        <v>2</v>
      </c>
      <c r="D87" s="1" t="n">
        <v>80.683624957</v>
      </c>
      <c r="E87" s="1" t="n">
        <v>213.299387354</v>
      </c>
      <c r="F87" s="1" t="n">
        <v>1514.681783396</v>
      </c>
      <c r="G87" s="1" t="n">
        <v>1146.681798391</v>
      </c>
      <c r="H87" s="1" t="n">
        <v>-448.856519095</v>
      </c>
      <c r="I87" s="1" t="n">
        <v>882.249900931</v>
      </c>
      <c r="J87" s="1" t="n">
        <v>1266.363204243</v>
      </c>
      <c r="K87" s="1" t="n">
        <v>-367.535055797</v>
      </c>
      <c r="L87" s="1" t="n">
        <v>45.547245234</v>
      </c>
      <c r="M87" s="1" t="n">
        <v>69.98186953</v>
      </c>
      <c r="O87" s="5" t="n">
        <v>39845</v>
      </c>
    </row>
    <row r="88" customFormat="false" ht="15" hidden="false" customHeight="false" outlineLevel="0" collapsed="false">
      <c r="A88" s="5" t="n">
        <v>39873</v>
      </c>
      <c r="B88" s="3" t="n">
        <f aca="false">YEAR(A88)</f>
        <v>2009</v>
      </c>
      <c r="C88" s="3" t="n">
        <f aca="false">MONTH(A88)</f>
        <v>3</v>
      </c>
      <c r="D88" s="1" t="n">
        <v>81.47045022</v>
      </c>
      <c r="E88" s="1" t="n">
        <v>212.800747643</v>
      </c>
      <c r="F88" s="1" t="n">
        <v>1663.337126106</v>
      </c>
      <c r="G88" s="1" t="n">
        <v>1257.260928492</v>
      </c>
      <c r="H88" s="1" t="n">
        <v>-492.008709925</v>
      </c>
      <c r="I88" s="1" t="n">
        <v>954.505762085</v>
      </c>
      <c r="J88" s="1" t="n">
        <v>1157.21906954</v>
      </c>
      <c r="K88" s="1" t="n">
        <v>-248.080310769</v>
      </c>
      <c r="L88" s="1" t="n">
        <v>47.361620266</v>
      </c>
      <c r="M88" s="1" t="n">
        <v>70.664331467</v>
      </c>
      <c r="O88" s="5" t="n">
        <v>39873</v>
      </c>
    </row>
    <row r="89" customFormat="false" ht="15" hidden="false" customHeight="false" outlineLevel="0" collapsed="false">
      <c r="A89" s="5" t="n">
        <v>39904</v>
      </c>
      <c r="B89" s="3" t="n">
        <f aca="false">YEAR(A89)</f>
        <v>2009</v>
      </c>
      <c r="C89" s="3" t="n">
        <f aca="false">MONTH(A89)</f>
        <v>4</v>
      </c>
      <c r="D89" s="1" t="n">
        <v>81.772242654</v>
      </c>
      <c r="E89" s="1" t="n">
        <v>212.787451204</v>
      </c>
      <c r="F89" s="1" t="n">
        <v>1873.820509784</v>
      </c>
      <c r="G89" s="1" t="n">
        <v>1478.023104932</v>
      </c>
      <c r="H89" s="1" t="n">
        <v>-225.158251651</v>
      </c>
      <c r="I89" s="1" t="n">
        <v>983.814120079</v>
      </c>
      <c r="J89" s="1" t="n">
        <v>1039.962502186</v>
      </c>
      <c r="K89" s="1" t="n">
        <v>-30.944337146</v>
      </c>
      <c r="L89" s="1" t="n">
        <v>47.058996502</v>
      </c>
      <c r="M89" s="1" t="n">
        <v>70.926094603</v>
      </c>
      <c r="O89" s="5" t="n">
        <v>39904</v>
      </c>
    </row>
    <row r="90" customFormat="false" ht="15" hidden="false" customHeight="false" outlineLevel="0" collapsed="false">
      <c r="A90" s="5" t="n">
        <v>39934</v>
      </c>
      <c r="B90" s="3" t="n">
        <f aca="false">YEAR(A90)</f>
        <v>2009</v>
      </c>
      <c r="C90" s="3" t="n">
        <f aca="false">MONTH(A90)</f>
        <v>5</v>
      </c>
      <c r="D90" s="1" t="n">
        <v>81.8930733</v>
      </c>
      <c r="E90" s="1" t="n">
        <v>212.885851944</v>
      </c>
      <c r="F90" s="1" t="n">
        <v>1457.277821934</v>
      </c>
      <c r="G90" s="1" t="n">
        <v>1425.864988646</v>
      </c>
      <c r="H90" s="1" t="n">
        <v>-129.953999228</v>
      </c>
      <c r="I90" s="1" t="n">
        <v>1065.418972209</v>
      </c>
      <c r="J90" s="1" t="n">
        <v>1124.153748767</v>
      </c>
      <c r="K90" s="1" t="n">
        <v>-80.674821344</v>
      </c>
      <c r="L90" s="1" t="n">
        <v>55.166077963</v>
      </c>
      <c r="M90" s="1" t="n">
        <v>71.030898453</v>
      </c>
      <c r="O90" s="5" t="n">
        <v>39934</v>
      </c>
    </row>
    <row r="91" customFormat="false" ht="15" hidden="false" customHeight="false" outlineLevel="0" collapsed="false">
      <c r="A91" s="5" t="n">
        <v>39965</v>
      </c>
      <c r="B91" s="3" t="n">
        <f aca="false">YEAR(A91)</f>
        <v>2009</v>
      </c>
      <c r="C91" s="3" t="n">
        <f aca="false">MONTH(A91)</f>
        <v>6</v>
      </c>
      <c r="D91" s="1" t="n">
        <v>82.032818605</v>
      </c>
      <c r="E91" s="1" t="n">
        <v>214.450727683</v>
      </c>
      <c r="F91" s="1" t="n">
        <v>1638.343093951</v>
      </c>
      <c r="G91" s="1" t="n">
        <v>1493.287797612</v>
      </c>
      <c r="H91" s="1" t="n">
        <v>-69.540769947</v>
      </c>
      <c r="I91" s="1" t="n">
        <v>1114.720221001</v>
      </c>
      <c r="J91" s="1" t="n">
        <v>1088.202912742</v>
      </c>
      <c r="K91" s="1" t="n">
        <v>18.03867113</v>
      </c>
      <c r="L91" s="1" t="n">
        <v>63.874830096</v>
      </c>
      <c r="M91" s="1" t="n">
        <v>71.15210815</v>
      </c>
      <c r="O91" s="5" t="n">
        <v>39965</v>
      </c>
    </row>
    <row r="92" customFormat="false" ht="15" hidden="false" customHeight="false" outlineLevel="0" collapsed="false">
      <c r="A92" s="5" t="n">
        <v>39995</v>
      </c>
      <c r="B92" s="3" t="n">
        <f aca="false">YEAR(A92)</f>
        <v>2009</v>
      </c>
      <c r="C92" s="3" t="n">
        <f aca="false">MONTH(A92)</f>
        <v>7</v>
      </c>
      <c r="D92" s="1" t="n">
        <v>82.136286382</v>
      </c>
      <c r="E92" s="1" t="n">
        <v>214.287442802</v>
      </c>
      <c r="F92" s="1" t="n">
        <v>1650.772219748</v>
      </c>
      <c r="G92" s="1" t="n">
        <v>1371.518320862</v>
      </c>
      <c r="H92" s="1" t="n">
        <v>-140.664547889</v>
      </c>
      <c r="I92" s="1" t="n">
        <v>1195.972566777</v>
      </c>
      <c r="J92" s="1" t="n">
        <v>1089.428852629</v>
      </c>
      <c r="K92" s="1" t="n">
        <v>94.790254815</v>
      </c>
      <c r="L92" s="1" t="n">
        <v>59.542479661</v>
      </c>
      <c r="M92" s="1" t="n">
        <v>71.241852116</v>
      </c>
      <c r="O92" s="5" t="n">
        <v>39995</v>
      </c>
    </row>
    <row r="93" customFormat="false" ht="15" hidden="false" customHeight="false" outlineLevel="0" collapsed="false">
      <c r="A93" s="5" t="n">
        <v>40026</v>
      </c>
      <c r="B93" s="3" t="n">
        <f aca="false">YEAR(A93)</f>
        <v>2009</v>
      </c>
      <c r="C93" s="3" t="n">
        <f aca="false">MONTH(A93)</f>
        <v>8</v>
      </c>
      <c r="D93" s="1" t="n">
        <v>82.123021801</v>
      </c>
      <c r="E93" s="1" t="n">
        <v>214.959446058</v>
      </c>
      <c r="F93" s="1" t="n">
        <v>1538.424336423</v>
      </c>
      <c r="G93" s="1" t="n">
        <v>1371.744679251</v>
      </c>
      <c r="H93" s="1" t="n">
        <v>-178.954492516</v>
      </c>
      <c r="I93" s="1" t="n">
        <v>1281.343133533</v>
      </c>
      <c r="J93" s="1" t="n">
        <v>1125.965731346</v>
      </c>
      <c r="K93" s="1" t="n">
        <v>201.826143344</v>
      </c>
      <c r="L93" s="1" t="n">
        <v>66.689679896</v>
      </c>
      <c r="M93" s="1" t="n">
        <v>71.230346929</v>
      </c>
      <c r="O93" s="5" t="n">
        <v>40026</v>
      </c>
    </row>
    <row r="94" customFormat="false" ht="15" hidden="false" customHeight="false" outlineLevel="0" collapsed="false">
      <c r="A94" s="5" t="n">
        <v>40057</v>
      </c>
      <c r="B94" s="3" t="n">
        <f aca="false">YEAR(A94)</f>
        <v>2009</v>
      </c>
      <c r="C94" s="3" t="n">
        <f aca="false">MONTH(A94)</f>
        <v>9</v>
      </c>
      <c r="D94" s="1" t="n">
        <v>82.453747209</v>
      </c>
      <c r="E94" s="1" t="n">
        <v>215.366287859</v>
      </c>
      <c r="F94" s="1" t="n">
        <v>1752.359202423</v>
      </c>
      <c r="G94" s="1" t="n">
        <v>2038.387992828</v>
      </c>
      <c r="H94" s="1" t="n">
        <v>245.927239158</v>
      </c>
      <c r="I94" s="1" t="n">
        <v>1230.850695208</v>
      </c>
      <c r="J94" s="1" t="n">
        <v>1182.254237943</v>
      </c>
      <c r="K94" s="1" t="n">
        <v>42.843051913</v>
      </c>
      <c r="L94" s="1" t="n">
        <v>70.291938111</v>
      </c>
      <c r="M94" s="1" t="n">
        <v>71.517205413</v>
      </c>
      <c r="O94" s="5" t="n">
        <v>40057</v>
      </c>
    </row>
    <row r="95" customFormat="false" ht="15" hidden="false" customHeight="false" outlineLevel="0" collapsed="false">
      <c r="A95" s="5" t="n">
        <v>40087</v>
      </c>
      <c r="B95" s="3" t="n">
        <f aca="false">YEAR(A95)</f>
        <v>2009</v>
      </c>
      <c r="C95" s="3" t="n">
        <f aca="false">MONTH(A95)</f>
        <v>10</v>
      </c>
      <c r="D95" s="1" t="n">
        <v>82.775138083</v>
      </c>
      <c r="E95" s="1" t="n">
        <v>216.299825464</v>
      </c>
      <c r="F95" s="1" t="n">
        <v>1956.241718644</v>
      </c>
      <c r="G95" s="1" t="n">
        <v>1778.462489318</v>
      </c>
      <c r="H95" s="1" t="n">
        <v>-231.057153933</v>
      </c>
      <c r="I95" s="1" t="n">
        <v>1376.866055923</v>
      </c>
      <c r="J95" s="1" t="n">
        <v>1174.102954611</v>
      </c>
      <c r="K95" s="1" t="n">
        <v>191.353664673</v>
      </c>
      <c r="L95" s="1" t="n">
        <v>78.2292129</v>
      </c>
      <c r="M95" s="1" t="n">
        <v>71.795967482</v>
      </c>
      <c r="O95" s="5" t="n">
        <v>40087</v>
      </c>
    </row>
    <row r="96" customFormat="false" ht="15" hidden="false" customHeight="false" outlineLevel="0" collapsed="false">
      <c r="A96" s="5" t="n">
        <v>40118</v>
      </c>
      <c r="B96" s="3" t="n">
        <f aca="false">YEAR(A96)</f>
        <v>2009</v>
      </c>
      <c r="C96" s="3" t="n">
        <f aca="false">MONTH(A96)</f>
        <v>11</v>
      </c>
      <c r="D96" s="1" t="n">
        <v>83.177936652</v>
      </c>
      <c r="E96" s="1" t="n">
        <v>217.202531274</v>
      </c>
      <c r="F96" s="1" t="n">
        <v>1875.554775195</v>
      </c>
      <c r="G96" s="1" t="n">
        <v>2135.237812286</v>
      </c>
      <c r="H96" s="1" t="n">
        <v>469.900433745</v>
      </c>
      <c r="I96" s="1" t="n">
        <v>1362.024057256</v>
      </c>
      <c r="J96" s="1" t="n">
        <v>1242.820772681</v>
      </c>
      <c r="K96" s="1" t="n">
        <v>156.07349045</v>
      </c>
      <c r="L96" s="1" t="n">
        <v>81.047431511</v>
      </c>
      <c r="M96" s="1" t="n">
        <v>72.145339451</v>
      </c>
      <c r="O96" s="5" t="n">
        <v>40118</v>
      </c>
    </row>
    <row r="97" customFormat="false" ht="15" hidden="false" customHeight="false" outlineLevel="0" collapsed="false">
      <c r="A97" s="5" t="n">
        <v>40148</v>
      </c>
      <c r="B97" s="3" t="n">
        <f aca="false">YEAR(A97)</f>
        <v>2009</v>
      </c>
      <c r="C97" s="3" t="n">
        <f aca="false">MONTH(A97)</f>
        <v>12</v>
      </c>
      <c r="D97" s="1" t="n">
        <v>83.649209066</v>
      </c>
      <c r="E97" s="1" t="n">
        <v>217.643348569</v>
      </c>
      <c r="F97" s="1" t="n">
        <v>1968.017254725</v>
      </c>
      <c r="G97" s="1" t="n">
        <v>1690.364848805</v>
      </c>
      <c r="H97" s="1" t="n">
        <v>-417.299235802</v>
      </c>
      <c r="I97" s="1" t="n">
        <v>1475.071093451</v>
      </c>
      <c r="J97" s="1" t="n">
        <v>1344.424721231</v>
      </c>
      <c r="K97" s="1" t="n">
        <v>162.677269729</v>
      </c>
      <c r="L97" s="1" t="n">
        <v>78.595618965</v>
      </c>
      <c r="M97" s="1" t="n">
        <v>72.554102996</v>
      </c>
      <c r="O97" s="5" t="n">
        <v>40148</v>
      </c>
    </row>
    <row r="98" customFormat="false" ht="15" hidden="false" customHeight="false" outlineLevel="0" collapsed="false">
      <c r="A98" s="5" t="n">
        <v>40179</v>
      </c>
      <c r="B98" s="3" t="n">
        <f aca="false">YEAR(A98)</f>
        <v>2010</v>
      </c>
      <c r="C98" s="3" t="n">
        <f aca="false">MONTH(A98)</f>
        <v>1</v>
      </c>
      <c r="D98" s="1" t="n">
        <v>84.058278118</v>
      </c>
      <c r="E98" s="1" t="n">
        <v>218.09715456</v>
      </c>
      <c r="F98" s="1" t="n">
        <v>1809.596325461</v>
      </c>
      <c r="G98" s="1" t="n">
        <v>2016.175347995</v>
      </c>
      <c r="H98" s="1" t="n">
        <v>-23.355776238</v>
      </c>
      <c r="I98" s="1" t="n">
        <v>1439.82485355</v>
      </c>
      <c r="J98" s="1" t="n">
        <v>1480.746805322</v>
      </c>
      <c r="K98" s="1" t="n">
        <v>-81.845959713</v>
      </c>
      <c r="L98" s="1" t="n">
        <v>83.411308218</v>
      </c>
      <c r="M98" s="1" t="n">
        <v>72.90891374</v>
      </c>
      <c r="O98" s="5" t="n">
        <v>40179</v>
      </c>
    </row>
    <row r="99" customFormat="false" ht="15" hidden="false" customHeight="false" outlineLevel="0" collapsed="false">
      <c r="A99" s="5" t="n">
        <v>40210</v>
      </c>
      <c r="B99" s="3" t="n">
        <f aca="false">YEAR(A99)</f>
        <v>2010</v>
      </c>
      <c r="C99" s="3" t="n">
        <f aca="false">MONTH(A99)</f>
        <v>2</v>
      </c>
      <c r="D99" s="1" t="n">
        <v>84.134610319</v>
      </c>
      <c r="E99" s="1" t="n">
        <v>217.717647868</v>
      </c>
      <c r="F99" s="1" t="n">
        <v>1802.019073975</v>
      </c>
      <c r="G99" s="1" t="n">
        <v>1828.741672949</v>
      </c>
      <c r="H99" s="1" t="n">
        <v>-125.956348991</v>
      </c>
      <c r="I99" s="1" t="n">
        <v>1388.471059354</v>
      </c>
      <c r="J99" s="1" t="n">
        <v>1456.981087045</v>
      </c>
      <c r="K99" s="1" t="n">
        <v>-76.318879327</v>
      </c>
      <c r="L99" s="1" t="n">
        <v>81.466476564</v>
      </c>
      <c r="M99" s="1" t="n">
        <v>72.975121352</v>
      </c>
      <c r="O99" s="5" t="n">
        <v>40210</v>
      </c>
    </row>
    <row r="100" customFormat="false" ht="15" hidden="false" customHeight="false" outlineLevel="0" collapsed="false">
      <c r="A100" s="5" t="n">
        <v>40238</v>
      </c>
      <c r="B100" s="3" t="n">
        <f aca="false">YEAR(A100)</f>
        <v>2010</v>
      </c>
      <c r="C100" s="3" t="n">
        <f aca="false">MONTH(A100)</f>
        <v>3</v>
      </c>
      <c r="D100" s="1" t="n">
        <v>84.187668717</v>
      </c>
      <c r="E100" s="1" t="n">
        <v>217.525202394</v>
      </c>
      <c r="F100" s="1" t="n">
        <v>1807.94182546</v>
      </c>
      <c r="G100" s="1" t="n">
        <v>2122.239672397</v>
      </c>
      <c r="H100" s="1" t="n">
        <v>364.70031446</v>
      </c>
      <c r="I100" s="1" t="n">
        <v>1431.193379423</v>
      </c>
      <c r="J100" s="1" t="n">
        <v>1465.937822696</v>
      </c>
      <c r="K100" s="1" t="n">
        <v>-28.634094991</v>
      </c>
      <c r="L100" s="1" t="n">
        <v>79.421332847</v>
      </c>
      <c r="M100" s="1" t="n">
        <v>73.021142164</v>
      </c>
      <c r="O100" s="5" t="n">
        <v>40238</v>
      </c>
    </row>
    <row r="101" customFormat="false" ht="15" hidden="false" customHeight="false" outlineLevel="0" collapsed="false">
      <c r="A101" s="5" t="n">
        <v>40269</v>
      </c>
      <c r="B101" s="3" t="n">
        <f aca="false">YEAR(A101)</f>
        <v>2010</v>
      </c>
      <c r="C101" s="3" t="n">
        <f aca="false">MONTH(A101)</f>
        <v>4</v>
      </c>
      <c r="D101" s="1" t="n">
        <v>84.386962265</v>
      </c>
      <c r="E101" s="1" t="n">
        <v>217.505920405</v>
      </c>
      <c r="F101" s="1" t="n">
        <v>2186.521057968</v>
      </c>
      <c r="G101" s="1" t="n">
        <v>1769.801078145</v>
      </c>
      <c r="H101" s="1" t="n">
        <v>-357.585531545</v>
      </c>
      <c r="I101" s="1" t="n">
        <v>1537.771755482</v>
      </c>
      <c r="J101" s="1" t="n">
        <v>1689.689913153</v>
      </c>
      <c r="K101" s="1" t="n">
        <v>-137.887975015</v>
      </c>
      <c r="L101" s="1" t="n">
        <v>81.443196285</v>
      </c>
      <c r="M101" s="1" t="n">
        <v>73.194001713</v>
      </c>
      <c r="O101" s="5" t="n">
        <v>40269</v>
      </c>
    </row>
    <row r="102" customFormat="false" ht="15" hidden="false" customHeight="false" outlineLevel="0" collapsed="false">
      <c r="A102" s="5" t="n">
        <v>40299</v>
      </c>
      <c r="B102" s="3" t="n">
        <f aca="false">YEAR(A102)</f>
        <v>2010</v>
      </c>
      <c r="C102" s="3" t="n">
        <f aca="false">MONTH(A102)</f>
        <v>5</v>
      </c>
      <c r="D102" s="1" t="n">
        <v>84.558732532</v>
      </c>
      <c r="E102" s="1" t="n">
        <v>217.240552735</v>
      </c>
      <c r="F102" s="1" t="n">
        <v>2018.76952053</v>
      </c>
      <c r="G102" s="1" t="n">
        <v>1909.231339299</v>
      </c>
      <c r="H102" s="1" t="n">
        <v>-86.724716051</v>
      </c>
      <c r="I102" s="1" t="n">
        <v>1294.110980221</v>
      </c>
      <c r="J102" s="1" t="n">
        <v>1556.316495979</v>
      </c>
      <c r="K102" s="1" t="n">
        <v>-275.470697083</v>
      </c>
      <c r="L102" s="1" t="n">
        <v>70.632807181</v>
      </c>
      <c r="M102" s="1" t="n">
        <v>73.342988629</v>
      </c>
      <c r="O102" s="5" t="n">
        <v>40299</v>
      </c>
    </row>
    <row r="103" customFormat="false" ht="15" hidden="false" customHeight="false" outlineLevel="0" collapsed="false">
      <c r="A103" s="5" t="n">
        <v>40330</v>
      </c>
      <c r="B103" s="3" t="n">
        <f aca="false">YEAR(A103)</f>
        <v>2010</v>
      </c>
      <c r="C103" s="3" t="n">
        <f aca="false">MONTH(A103)</f>
        <v>6</v>
      </c>
      <c r="D103" s="1" t="n">
        <v>84.80853202</v>
      </c>
      <c r="E103" s="1" t="n">
        <v>216.89942114</v>
      </c>
      <c r="F103" s="1" t="n">
        <v>2017.347101632</v>
      </c>
      <c r="G103" s="1" t="n">
        <v>1740.595032299</v>
      </c>
      <c r="H103" s="1" t="n">
        <v>-158.82536283</v>
      </c>
      <c r="I103" s="1" t="n">
        <v>1426.822225807</v>
      </c>
      <c r="J103" s="1" t="n">
        <v>1531.420359668</v>
      </c>
      <c r="K103" s="1" t="n">
        <v>-64.555143134</v>
      </c>
      <c r="L103" s="1" t="n">
        <v>71.026463893</v>
      </c>
      <c r="M103" s="1" t="n">
        <v>73.559655086</v>
      </c>
      <c r="O103" s="5" t="n">
        <v>40330</v>
      </c>
    </row>
    <row r="104" customFormat="false" ht="15" hidden="false" customHeight="false" outlineLevel="0" collapsed="false">
      <c r="A104" s="5" t="n">
        <v>40360</v>
      </c>
      <c r="B104" s="3" t="n">
        <f aca="false">YEAR(A104)</f>
        <v>2010</v>
      </c>
      <c r="C104" s="3" t="n">
        <f aca="false">MONTH(A104)</f>
        <v>7</v>
      </c>
      <c r="D104" s="1" t="n">
        <v>84.997473295</v>
      </c>
      <c r="E104" s="1" t="n">
        <v>217.120213595</v>
      </c>
      <c r="F104" s="1" t="n">
        <v>2091.868012109</v>
      </c>
      <c r="G104" s="1" t="n">
        <v>1882.620066815</v>
      </c>
      <c r="H104" s="1" t="n">
        <v>-176.7351652</v>
      </c>
      <c r="I104" s="1" t="n">
        <v>1355.909666402</v>
      </c>
      <c r="J104" s="1" t="n">
        <v>1678.502656033</v>
      </c>
      <c r="K104" s="1" t="n">
        <v>-365.909711436</v>
      </c>
      <c r="L104" s="1" t="n">
        <v>73.294185395</v>
      </c>
      <c r="M104" s="1" t="n">
        <v>73.723535472</v>
      </c>
      <c r="O104" s="5" t="n">
        <v>40360</v>
      </c>
    </row>
    <row r="105" customFormat="false" ht="15" hidden="false" customHeight="false" outlineLevel="0" collapsed="false">
      <c r="A105" s="5" t="n">
        <v>40391</v>
      </c>
      <c r="B105" s="3" t="n">
        <f aca="false">YEAR(A105)</f>
        <v>2010</v>
      </c>
      <c r="C105" s="3" t="n">
        <f aca="false">MONTH(A105)</f>
        <v>8</v>
      </c>
      <c r="D105" s="1" t="n">
        <v>85.289560751</v>
      </c>
      <c r="E105" s="1" t="n">
        <v>217.516718231</v>
      </c>
      <c r="F105" s="1" t="n">
        <v>1966.221951559</v>
      </c>
      <c r="G105" s="1" t="n">
        <v>1889.257754853</v>
      </c>
      <c r="H105" s="1" t="n">
        <v>-138.720600454</v>
      </c>
      <c r="I105" s="1" t="n">
        <v>1267.256491524</v>
      </c>
      <c r="J105" s="1" t="n">
        <v>1879.187502128</v>
      </c>
      <c r="K105" s="1" t="n">
        <v>-555.180354548</v>
      </c>
      <c r="L105" s="1" t="n">
        <v>73.010024147</v>
      </c>
      <c r="M105" s="1" t="n">
        <v>73.976880885</v>
      </c>
      <c r="O105" s="5" t="n">
        <v>40391</v>
      </c>
    </row>
    <row r="106" customFormat="false" ht="15" hidden="false" customHeight="false" outlineLevel="0" collapsed="false">
      <c r="A106" s="5" t="n">
        <v>40422</v>
      </c>
      <c r="B106" s="3" t="n">
        <f aca="false">YEAR(A106)</f>
        <v>2010</v>
      </c>
      <c r="C106" s="3" t="n">
        <f aca="false">MONTH(A106)</f>
        <v>9</v>
      </c>
      <c r="D106" s="1" t="n">
        <v>85.297846468</v>
      </c>
      <c r="E106" s="1" t="n">
        <v>217.84526136</v>
      </c>
      <c r="F106" s="1" t="n">
        <v>2052.887828988</v>
      </c>
      <c r="G106" s="1" t="n">
        <v>1732.276199362</v>
      </c>
      <c r="H106" s="1" t="n">
        <v>-280.729747945</v>
      </c>
      <c r="I106" s="1" t="n">
        <v>1416.311601033</v>
      </c>
      <c r="J106" s="1" t="n">
        <v>1466.124559693</v>
      </c>
      <c r="K106" s="1" t="n">
        <v>-83.830561957</v>
      </c>
      <c r="L106" s="1" t="n">
        <v>76.111730342</v>
      </c>
      <c r="M106" s="1" t="n">
        <v>73.984067597</v>
      </c>
      <c r="O106" s="5" t="n">
        <v>40422</v>
      </c>
    </row>
    <row r="107" customFormat="false" ht="15" hidden="false" customHeight="false" outlineLevel="0" collapsed="false">
      <c r="A107" s="5" t="n">
        <v>40452</v>
      </c>
      <c r="B107" s="3" t="n">
        <f aca="false">YEAR(A107)</f>
        <v>2010</v>
      </c>
      <c r="C107" s="3" t="n">
        <f aca="false">MONTH(A107)</f>
        <v>10</v>
      </c>
      <c r="D107" s="1" t="n">
        <v>85.605202035</v>
      </c>
      <c r="E107" s="1" t="n">
        <v>218.791396024</v>
      </c>
      <c r="F107" s="1" t="n">
        <v>1987.777023811</v>
      </c>
      <c r="G107" s="1" t="n">
        <v>2143.204677895</v>
      </c>
      <c r="H107" s="1" t="n">
        <v>55.798930925</v>
      </c>
      <c r="I107" s="1" t="n">
        <v>1637.218669235</v>
      </c>
      <c r="J107" s="1" t="n">
        <v>1684.455256488</v>
      </c>
      <c r="K107" s="1" t="n">
        <v>-86.634670127</v>
      </c>
      <c r="L107" s="1" t="n">
        <v>84.693159951</v>
      </c>
      <c r="M107" s="1" t="n">
        <v>74.250655981</v>
      </c>
      <c r="O107" s="5" t="n">
        <v>40452</v>
      </c>
    </row>
    <row r="108" customFormat="false" ht="15" hidden="false" customHeight="false" outlineLevel="0" collapsed="false">
      <c r="A108" s="5" t="n">
        <v>40483</v>
      </c>
      <c r="B108" s="3" t="n">
        <f aca="false">YEAR(A108)</f>
        <v>2010</v>
      </c>
      <c r="C108" s="3" t="n">
        <f aca="false">MONTH(A108)</f>
        <v>11</v>
      </c>
      <c r="D108" s="1" t="n">
        <v>85.941929939</v>
      </c>
      <c r="E108" s="1" t="n">
        <v>219.677259334</v>
      </c>
      <c r="F108" s="1" t="n">
        <v>2132.691880242</v>
      </c>
      <c r="G108" s="1" t="n">
        <v>2044.830966978</v>
      </c>
      <c r="H108" s="1" t="n">
        <v>109.206972046</v>
      </c>
      <c r="I108" s="1" t="n">
        <v>1626.590262973</v>
      </c>
      <c r="J108" s="1" t="n">
        <v>1804.690530239</v>
      </c>
      <c r="K108" s="1" t="n">
        <v>-189.396376695</v>
      </c>
      <c r="L108" s="1" t="n">
        <v>87.352896122</v>
      </c>
      <c r="M108" s="1" t="n">
        <v>74.542720799</v>
      </c>
      <c r="O108" s="5" t="n">
        <v>40483</v>
      </c>
    </row>
    <row r="109" customFormat="false" ht="15" hidden="false" customHeight="false" outlineLevel="0" collapsed="false">
      <c r="A109" s="5" t="n">
        <v>40513</v>
      </c>
      <c r="B109" s="3" t="n">
        <f aca="false">YEAR(A109)</f>
        <v>2010</v>
      </c>
      <c r="C109" s="3" t="n">
        <f aca="false">MONTH(A109)</f>
        <v>12</v>
      </c>
      <c r="D109" s="1" t="n">
        <v>86.388394503</v>
      </c>
      <c r="E109" s="1" t="n">
        <v>220.860941758</v>
      </c>
      <c r="F109" s="1" t="n">
        <v>2118.721974241</v>
      </c>
      <c r="G109" s="1" t="n">
        <v>2136.378964899</v>
      </c>
      <c r="H109" s="1" t="n">
        <v>78.444812367</v>
      </c>
      <c r="I109" s="1" t="n">
        <v>1715.487802323</v>
      </c>
      <c r="J109" s="1" t="n">
        <v>1772.11529965</v>
      </c>
      <c r="K109" s="1" t="n">
        <v>-52.336946546</v>
      </c>
      <c r="L109" s="1" t="n">
        <v>92.798679735</v>
      </c>
      <c r="M109" s="1" t="n">
        <v>74.929966971</v>
      </c>
      <c r="O109" s="5" t="n">
        <v>40513</v>
      </c>
    </row>
    <row r="110" customFormat="false" ht="15" hidden="false" customHeight="false" outlineLevel="0" collapsed="false">
      <c r="A110" s="5" t="n">
        <v>40544</v>
      </c>
      <c r="B110" s="3" t="n">
        <f aca="false">YEAR(A110)</f>
        <v>2011</v>
      </c>
      <c r="C110" s="3" t="n">
        <f aca="false">MONTH(A110)</f>
        <v>1</v>
      </c>
      <c r="D110" s="1" t="n">
        <v>86.679160358</v>
      </c>
      <c r="E110" s="1" t="n">
        <v>221.538770487</v>
      </c>
      <c r="F110" s="1" t="n">
        <v>2433.63630366</v>
      </c>
      <c r="G110" s="1" t="n">
        <v>2297.32169686</v>
      </c>
      <c r="H110" s="1" t="n">
        <v>-209.724217888</v>
      </c>
      <c r="I110" s="1" t="n">
        <v>1739.617156778</v>
      </c>
      <c r="J110" s="1" t="n">
        <v>1692.575947955</v>
      </c>
      <c r="K110" s="1" t="n">
        <v>10.886156127</v>
      </c>
      <c r="L110" s="1" t="n">
        <v>92.789683483</v>
      </c>
      <c r="M110" s="1" t="n">
        <v>75.182166077</v>
      </c>
      <c r="O110" s="5" t="n">
        <v>40544</v>
      </c>
    </row>
    <row r="111" customFormat="false" ht="15" hidden="false" customHeight="false" outlineLevel="0" collapsed="false">
      <c r="A111" s="5" t="n">
        <v>40575</v>
      </c>
      <c r="B111" s="3" t="n">
        <f aca="false">YEAR(A111)</f>
        <v>2011</v>
      </c>
      <c r="C111" s="3" t="n">
        <f aca="false">MONTH(A111)</f>
        <v>2</v>
      </c>
      <c r="D111" s="1" t="n">
        <v>86.974992019</v>
      </c>
      <c r="E111" s="1" t="n">
        <v>222.18338475</v>
      </c>
      <c r="F111" s="1" t="n">
        <v>2287.951405519</v>
      </c>
      <c r="G111" s="1" t="n">
        <v>2483.796535356</v>
      </c>
      <c r="H111" s="1" t="n">
        <v>38.155750447</v>
      </c>
      <c r="I111" s="1" t="n">
        <v>1780.481415034</v>
      </c>
      <c r="J111" s="1" t="n">
        <v>1818.092076559</v>
      </c>
      <c r="K111" s="1" t="n">
        <v>-11.095769951</v>
      </c>
      <c r="L111" s="1" t="n">
        <v>92.761882519</v>
      </c>
      <c r="M111" s="1" t="n">
        <v>75.438759069</v>
      </c>
      <c r="O111" s="5" t="n">
        <v>40575</v>
      </c>
    </row>
    <row r="112" customFormat="false" ht="15" hidden="false" customHeight="false" outlineLevel="0" collapsed="false">
      <c r="A112" s="5" t="n">
        <v>40603</v>
      </c>
      <c r="B112" s="3" t="n">
        <f aca="false">YEAR(A112)</f>
        <v>2011</v>
      </c>
      <c r="C112" s="3" t="n">
        <f aca="false">MONTH(A112)</f>
        <v>3</v>
      </c>
      <c r="D112" s="1" t="n">
        <v>87.176101247</v>
      </c>
      <c r="E112" s="1" t="n">
        <v>223.211877837</v>
      </c>
      <c r="F112" s="1" t="n">
        <v>2550.690829571</v>
      </c>
      <c r="G112" s="1" t="n">
        <v>2470.083536332</v>
      </c>
      <c r="H112" s="1" t="n">
        <v>-205.578282468</v>
      </c>
      <c r="I112" s="1" t="n">
        <v>1900.430702442</v>
      </c>
      <c r="J112" s="1" t="n">
        <v>1876.600616385</v>
      </c>
      <c r="K112" s="1" t="n">
        <v>37.222609054</v>
      </c>
      <c r="L112" s="1" t="n">
        <v>100.350298035</v>
      </c>
      <c r="M112" s="1" t="n">
        <v>75.613193469</v>
      </c>
      <c r="O112" s="5" t="n">
        <v>40603</v>
      </c>
    </row>
    <row r="113" customFormat="false" ht="15" hidden="false" customHeight="false" outlineLevel="0" collapsed="false">
      <c r="A113" s="5" t="n">
        <v>40634</v>
      </c>
      <c r="B113" s="3" t="n">
        <f aca="false">YEAR(A113)</f>
        <v>2011</v>
      </c>
      <c r="C113" s="3" t="n">
        <f aca="false">MONTH(A113)</f>
        <v>4</v>
      </c>
      <c r="D113" s="1" t="n">
        <v>87.685293591</v>
      </c>
      <c r="E113" s="1" t="n">
        <v>224.364072126</v>
      </c>
      <c r="F113" s="1" t="n">
        <v>2482.86653759</v>
      </c>
      <c r="G113" s="1" t="n">
        <v>2412.82006724</v>
      </c>
      <c r="H113" s="1" t="n">
        <v>-58.423881016</v>
      </c>
      <c r="I113" s="1" t="n">
        <v>1798.160312085</v>
      </c>
      <c r="J113" s="1" t="n">
        <v>1978.101532154</v>
      </c>
      <c r="K113" s="1" t="n">
        <v>-130.405413771</v>
      </c>
      <c r="L113" s="1" t="n">
        <v>106.930939611</v>
      </c>
      <c r="M113" s="1" t="n">
        <v>76.054847302</v>
      </c>
      <c r="O113" s="5" t="n">
        <v>40634</v>
      </c>
    </row>
    <row r="114" customFormat="false" ht="15" hidden="false" customHeight="false" outlineLevel="0" collapsed="false">
      <c r="A114" s="5" t="n">
        <v>40664</v>
      </c>
      <c r="B114" s="3" t="n">
        <f aca="false">YEAR(A114)</f>
        <v>2011</v>
      </c>
      <c r="C114" s="3" t="n">
        <f aca="false">MONTH(A114)</f>
        <v>5</v>
      </c>
      <c r="D114" s="1" t="n">
        <v>88.186826022</v>
      </c>
      <c r="E114" s="1" t="n">
        <v>225.054221308</v>
      </c>
      <c r="F114" s="1" t="n">
        <v>2734.775265026</v>
      </c>
      <c r="G114" s="1" t="n">
        <v>2346.390729804</v>
      </c>
      <c r="H114" s="1" t="n">
        <v>-413.930701159</v>
      </c>
      <c r="I114" s="1" t="n">
        <v>1901.135482894</v>
      </c>
      <c r="J114" s="1" t="n">
        <v>1889.512487063</v>
      </c>
      <c r="K114" s="1" t="n">
        <v>1.151192248</v>
      </c>
      <c r="L114" s="1" t="n">
        <v>99.617139749</v>
      </c>
      <c r="M114" s="1" t="n">
        <v>76.48985722</v>
      </c>
      <c r="O114" s="5" t="n">
        <v>40664</v>
      </c>
    </row>
    <row r="115" customFormat="false" ht="15" hidden="false" customHeight="false" outlineLevel="0" collapsed="false">
      <c r="A115" s="5" t="n">
        <v>40695</v>
      </c>
      <c r="B115" s="3" t="n">
        <f aca="false">YEAR(A115)</f>
        <v>2011</v>
      </c>
      <c r="C115" s="3" t="n">
        <f aca="false">MONTH(A115)</f>
        <v>6</v>
      </c>
      <c r="D115" s="1" t="n">
        <v>88.517764695</v>
      </c>
      <c r="E115" s="1" t="n">
        <v>224.82308019</v>
      </c>
      <c r="F115" s="1" t="n">
        <v>2598.53303267</v>
      </c>
      <c r="G115" s="1" t="n">
        <v>2828.80410733</v>
      </c>
      <c r="H115" s="1" t="n">
        <v>554.046380677</v>
      </c>
      <c r="I115" s="1" t="n">
        <v>1842.814902337</v>
      </c>
      <c r="J115" s="1" t="n">
        <v>1946.894639183</v>
      </c>
      <c r="K115" s="1" t="n">
        <v>-68.326045535</v>
      </c>
      <c r="L115" s="1" t="n">
        <v>93.559875037</v>
      </c>
      <c r="M115" s="1" t="n">
        <v>76.776900683</v>
      </c>
      <c r="O115" s="5" t="n">
        <v>40695</v>
      </c>
    </row>
    <row r="116" customFormat="false" ht="15" hidden="false" customHeight="false" outlineLevel="0" collapsed="false">
      <c r="A116" s="5" t="n">
        <v>40725</v>
      </c>
      <c r="B116" s="3" t="n">
        <f aca="false">YEAR(A116)</f>
        <v>2011</v>
      </c>
      <c r="C116" s="3" t="n">
        <f aca="false">MONTH(A116)</f>
        <v>7</v>
      </c>
      <c r="D116" s="1" t="n">
        <v>88.836845409</v>
      </c>
      <c r="E116" s="1" t="n">
        <v>225.157455468</v>
      </c>
      <c r="F116" s="1" t="n">
        <v>2641.44038865</v>
      </c>
      <c r="G116" s="1" t="n">
        <v>2484.694128019</v>
      </c>
      <c r="H116" s="1" t="n">
        <v>-175.934228877</v>
      </c>
      <c r="I116" s="1" t="n">
        <v>1940.504194359</v>
      </c>
      <c r="J116" s="1" t="n">
        <v>1878.845817112</v>
      </c>
      <c r="K116" s="1" t="n">
        <v>74.878421611</v>
      </c>
      <c r="L116" s="1" t="n">
        <v>95.121277577</v>
      </c>
      <c r="M116" s="1" t="n">
        <v>77.053659008</v>
      </c>
      <c r="O116" s="5" t="n">
        <v>40725</v>
      </c>
    </row>
    <row r="117" customFormat="false" ht="15" hidden="false" customHeight="false" outlineLevel="0" collapsed="false">
      <c r="A117" s="5" t="n">
        <v>40756</v>
      </c>
      <c r="B117" s="3" t="n">
        <f aca="false">YEAR(A117)</f>
        <v>2011</v>
      </c>
      <c r="C117" s="3" t="n">
        <f aca="false">MONTH(A117)</f>
        <v>8</v>
      </c>
      <c r="D117" s="1" t="n">
        <v>89.417539243</v>
      </c>
      <c r="E117" s="1" t="n">
        <v>225.853413749</v>
      </c>
      <c r="F117" s="1" t="n">
        <v>2624.67597047</v>
      </c>
      <c r="G117" s="1" t="n">
        <v>2585.956971045</v>
      </c>
      <c r="H117" s="1" t="n">
        <v>89.65496047</v>
      </c>
      <c r="I117" s="1" t="n">
        <v>1710.35394939</v>
      </c>
      <c r="J117" s="1" t="n">
        <v>1932.054025392</v>
      </c>
      <c r="K117" s="1" t="n">
        <v>-141.826597374</v>
      </c>
      <c r="L117" s="1" t="n">
        <v>83.158797092</v>
      </c>
      <c r="M117" s="1" t="n">
        <v>77.557330479</v>
      </c>
      <c r="O117" s="5" t="n">
        <v>40756</v>
      </c>
    </row>
    <row r="118" customFormat="false" ht="15" hidden="false" customHeight="false" outlineLevel="0" collapsed="false">
      <c r="A118" s="5" t="n">
        <v>40787</v>
      </c>
      <c r="B118" s="3" t="n">
        <f aca="false">YEAR(A118)</f>
        <v>2011</v>
      </c>
      <c r="C118" s="3" t="n">
        <f aca="false">MONTH(A118)</f>
        <v>9</v>
      </c>
      <c r="D118" s="1" t="n">
        <v>89.88891438</v>
      </c>
      <c r="E118" s="1" t="n">
        <v>226.262411855</v>
      </c>
      <c r="F118" s="1" t="n">
        <v>2715.029453055</v>
      </c>
      <c r="G118" s="1" t="n">
        <v>2853.813631899</v>
      </c>
      <c r="H118" s="1" t="n">
        <v>118.72171065</v>
      </c>
      <c r="I118" s="1" t="n">
        <v>1874.151688621</v>
      </c>
      <c r="J118" s="1" t="n">
        <v>1970.156598991</v>
      </c>
      <c r="K118" s="1" t="n">
        <v>-195.963100995</v>
      </c>
      <c r="L118" s="1" t="n">
        <v>85.626245855</v>
      </c>
      <c r="M118" s="1" t="n">
        <v>77.966183123</v>
      </c>
      <c r="O118" s="5" t="n">
        <v>40787</v>
      </c>
    </row>
    <row r="119" customFormat="false" ht="15" hidden="false" customHeight="false" outlineLevel="0" collapsed="false">
      <c r="A119" s="5" t="n">
        <v>40817</v>
      </c>
      <c r="B119" s="3" t="n">
        <f aca="false">YEAR(A119)</f>
        <v>2011</v>
      </c>
      <c r="C119" s="3" t="n">
        <f aca="false">MONTH(A119)</f>
        <v>10</v>
      </c>
      <c r="D119" s="1" t="n">
        <v>90.250461663</v>
      </c>
      <c r="E119" s="1" t="n">
        <v>226.432827248</v>
      </c>
      <c r="F119" s="1" t="n">
        <v>2670.230768332</v>
      </c>
      <c r="G119" s="1" t="n">
        <v>2562.381323245</v>
      </c>
      <c r="H119" s="1" t="n">
        <v>-105.754592536</v>
      </c>
      <c r="I119" s="1" t="n">
        <v>1863.518066893</v>
      </c>
      <c r="J119" s="1" t="n">
        <v>2020.649128834</v>
      </c>
      <c r="K119" s="1" t="n">
        <v>-196.110559472</v>
      </c>
      <c r="L119" s="1" t="n">
        <v>88.988490009</v>
      </c>
      <c r="M119" s="1" t="n">
        <v>78.279775315</v>
      </c>
      <c r="O119" s="5" t="n">
        <v>40817</v>
      </c>
    </row>
    <row r="120" customFormat="false" ht="15" hidden="false" customHeight="false" outlineLevel="0" collapsed="false">
      <c r="A120" s="5" t="n">
        <v>40848</v>
      </c>
      <c r="B120" s="3" t="n">
        <f aca="false">YEAR(A120)</f>
        <v>2011</v>
      </c>
      <c r="C120" s="3" t="n">
        <f aca="false">MONTH(A120)</f>
        <v>11</v>
      </c>
      <c r="D120" s="1" t="n">
        <v>90.608316397</v>
      </c>
      <c r="E120" s="1" t="n">
        <v>227.118988156</v>
      </c>
      <c r="F120" s="1" t="n">
        <v>2852.543519415</v>
      </c>
      <c r="G120" s="1" t="n">
        <v>2549.519423234</v>
      </c>
      <c r="H120" s="1" t="n">
        <v>-195.028927958</v>
      </c>
      <c r="I120" s="1" t="n">
        <v>2031.783233559</v>
      </c>
      <c r="J120" s="1" t="n">
        <v>2043.080983192</v>
      </c>
      <c r="K120" s="1" t="n">
        <v>-37.47645079</v>
      </c>
      <c r="L120" s="1" t="n">
        <v>100.339216943</v>
      </c>
      <c r="M120" s="1" t="n">
        <v>78.590164732</v>
      </c>
      <c r="O120" s="5" t="n">
        <v>40848</v>
      </c>
    </row>
    <row r="121" customFormat="false" ht="15" hidden="false" customHeight="false" outlineLevel="0" collapsed="false">
      <c r="A121" s="5" t="n">
        <v>40878</v>
      </c>
      <c r="B121" s="3" t="n">
        <f aca="false">YEAR(A121)</f>
        <v>2011</v>
      </c>
      <c r="C121" s="3" t="n">
        <f aca="false">MONTH(A121)</f>
        <v>12</v>
      </c>
      <c r="D121" s="1" t="n">
        <v>91.017230555</v>
      </c>
      <c r="E121" s="1" t="n">
        <v>227.329874861</v>
      </c>
      <c r="F121" s="1" t="n">
        <v>2587.385260088</v>
      </c>
      <c r="G121" s="1" t="n">
        <v>3488.922130313</v>
      </c>
      <c r="H121" s="1" t="n">
        <v>631.677193129</v>
      </c>
      <c r="I121" s="1" t="n">
        <v>1947.418186584</v>
      </c>
      <c r="J121" s="1" t="n">
        <v>2083.485103097</v>
      </c>
      <c r="K121" s="1" t="n">
        <v>-173.027350315</v>
      </c>
      <c r="L121" s="1" t="n">
        <v>101.927707074</v>
      </c>
      <c r="M121" s="1" t="n">
        <v>78.944841127</v>
      </c>
      <c r="O121" s="5" t="n">
        <v>40878</v>
      </c>
    </row>
    <row r="122" customFormat="false" ht="15" hidden="false" customHeight="false" outlineLevel="0" collapsed="false">
      <c r="A122" s="5" t="n">
        <v>40909</v>
      </c>
      <c r="B122" s="3" t="n">
        <f aca="false">YEAR(A122)</f>
        <v>2012</v>
      </c>
      <c r="C122" s="3" t="n">
        <f aca="false">MONTH(A122)</f>
        <v>1</v>
      </c>
      <c r="D122" s="1" t="n">
        <v>91.239973958</v>
      </c>
      <c r="E122" s="1" t="n">
        <v>227.938618793</v>
      </c>
      <c r="F122" s="1" t="n">
        <v>3377.765944676</v>
      </c>
      <c r="G122" s="1" t="n">
        <v>2950.421515969</v>
      </c>
      <c r="H122" s="1" t="n">
        <v>-456.885412735</v>
      </c>
      <c r="I122" s="1" t="n">
        <v>2273.452587257</v>
      </c>
      <c r="J122" s="1" t="n">
        <v>2071.061831443</v>
      </c>
      <c r="K122" s="1" t="n">
        <v>145.468562894</v>
      </c>
      <c r="L122" s="1" t="n">
        <v>102.709824722</v>
      </c>
      <c r="M122" s="1" t="n">
        <v>79.138040178</v>
      </c>
      <c r="O122" s="5" t="n">
        <v>40909</v>
      </c>
    </row>
    <row r="123" customFormat="false" ht="15" hidden="false" customHeight="false" outlineLevel="0" collapsed="false">
      <c r="A123" s="5" t="n">
        <v>40940</v>
      </c>
      <c r="B123" s="3" t="n">
        <f aca="false">YEAR(A123)</f>
        <v>2012</v>
      </c>
      <c r="C123" s="3" t="n">
        <f aca="false">MONTH(A123)</f>
        <v>2</v>
      </c>
      <c r="D123" s="1" t="n">
        <v>91.799681562</v>
      </c>
      <c r="E123" s="1" t="n">
        <v>228.498661361</v>
      </c>
      <c r="F123" s="1" t="n">
        <v>2943.455959208</v>
      </c>
      <c r="G123" s="1" t="n">
        <v>3226.284191279</v>
      </c>
      <c r="H123" s="1" t="n">
        <v>391.561088054</v>
      </c>
      <c r="I123" s="1" t="n">
        <v>2098.622057715</v>
      </c>
      <c r="J123" s="1" t="n">
        <v>2039.75875972</v>
      </c>
      <c r="K123" s="1" t="n">
        <v>48.917784708</v>
      </c>
      <c r="L123" s="1" t="n">
        <v>104.129943179</v>
      </c>
      <c r="M123" s="1" t="n">
        <v>79.623509002</v>
      </c>
      <c r="O123" s="5" t="n">
        <v>40940</v>
      </c>
    </row>
    <row r="124" customFormat="false" ht="15" hidden="false" customHeight="false" outlineLevel="0" collapsed="false">
      <c r="A124" s="5" t="n">
        <v>40969</v>
      </c>
      <c r="B124" s="3" t="n">
        <f aca="false">YEAR(A124)</f>
        <v>2012</v>
      </c>
      <c r="C124" s="3" t="n">
        <f aca="false">MONTH(A124)</f>
        <v>3</v>
      </c>
      <c r="D124" s="1" t="n">
        <v>92.511569769</v>
      </c>
      <c r="E124" s="1" t="n">
        <v>229.055580146</v>
      </c>
      <c r="F124" s="1" t="n">
        <v>2891.427361034</v>
      </c>
      <c r="G124" s="1" t="n">
        <v>3234.683749778</v>
      </c>
      <c r="H124" s="1" t="n">
        <v>218.725002335</v>
      </c>
      <c r="I124" s="1" t="n">
        <v>1912.51621774</v>
      </c>
      <c r="J124" s="1" t="n">
        <v>1992.519336198</v>
      </c>
      <c r="K124" s="1" t="n">
        <v>-82.664505172</v>
      </c>
      <c r="L124" s="1" t="n">
        <v>103.92156011</v>
      </c>
      <c r="M124" s="1" t="n">
        <v>80.240973421</v>
      </c>
      <c r="O124" s="5" t="n">
        <v>40969</v>
      </c>
    </row>
    <row r="125" customFormat="false" ht="15" hidden="false" customHeight="false" outlineLevel="0" collapsed="false">
      <c r="A125" s="5" t="n">
        <v>41000</v>
      </c>
      <c r="B125" s="3" t="n">
        <f aca="false">YEAR(A125)</f>
        <v>2012</v>
      </c>
      <c r="C125" s="3" t="n">
        <f aca="false">MONTH(A125)</f>
        <v>4</v>
      </c>
      <c r="D125" s="1" t="n">
        <v>92.486771383</v>
      </c>
      <c r="E125" s="1" t="n">
        <v>229.539299877</v>
      </c>
      <c r="F125" s="1" t="n">
        <v>3043.81259343</v>
      </c>
      <c r="G125" s="1" t="n">
        <v>2993.805011872</v>
      </c>
      <c r="H125" s="1" t="n">
        <v>134.040859924</v>
      </c>
      <c r="I125" s="1" t="n">
        <v>2060.82699114</v>
      </c>
      <c r="J125" s="1" t="n">
        <v>1958.350338328</v>
      </c>
      <c r="K125" s="1" t="n">
        <v>161.682433735</v>
      </c>
      <c r="L125" s="1" t="n">
        <v>100.728323804</v>
      </c>
      <c r="M125" s="1" t="n">
        <v>80.219464256</v>
      </c>
      <c r="O125" s="5" t="n">
        <v>41000</v>
      </c>
    </row>
    <row r="126" customFormat="false" ht="15" hidden="false" customHeight="false" outlineLevel="0" collapsed="false">
      <c r="A126" s="5" t="n">
        <v>41030</v>
      </c>
      <c r="B126" s="3" t="n">
        <f aca="false">YEAR(A126)</f>
        <v>2012</v>
      </c>
      <c r="C126" s="3" t="n">
        <f aca="false">MONTH(A126)</f>
        <v>5</v>
      </c>
      <c r="D126" s="1" t="n">
        <v>92.534415826</v>
      </c>
      <c r="E126" s="1" t="n">
        <v>228.896661947</v>
      </c>
      <c r="F126" s="1" t="n">
        <v>3128.876702107</v>
      </c>
      <c r="G126" s="1" t="n">
        <v>3117.371175269</v>
      </c>
      <c r="H126" s="1" t="n">
        <v>40.582597496</v>
      </c>
      <c r="I126" s="1" t="n">
        <v>2009.935971662</v>
      </c>
      <c r="J126" s="1" t="n">
        <v>2033.994934168</v>
      </c>
      <c r="K126" s="1" t="n">
        <v>-56.354205126</v>
      </c>
      <c r="L126" s="1" t="n">
        <v>93.782223289</v>
      </c>
      <c r="M126" s="1" t="n">
        <v>80.260789211</v>
      </c>
      <c r="O126" s="5" t="n">
        <v>41030</v>
      </c>
    </row>
    <row r="127" customFormat="false" ht="15" hidden="false" customHeight="false" outlineLevel="0" collapsed="false">
      <c r="A127" s="5" t="n">
        <v>41061</v>
      </c>
      <c r="B127" s="3" t="n">
        <f aca="false">YEAR(A127)</f>
        <v>2012</v>
      </c>
      <c r="C127" s="3" t="n">
        <f aca="false">MONTH(A127)</f>
        <v>6</v>
      </c>
      <c r="D127" s="1" t="n">
        <v>93.002679086</v>
      </c>
      <c r="E127" s="1" t="n">
        <v>228.63296321</v>
      </c>
      <c r="F127" s="1" t="n">
        <v>3226.221520193</v>
      </c>
      <c r="G127" s="1" t="n">
        <v>2946.92210811</v>
      </c>
      <c r="H127" s="1" t="n">
        <v>-80.992192852</v>
      </c>
      <c r="I127" s="1" t="n">
        <v>1838.670146192</v>
      </c>
      <c r="J127" s="1" t="n">
        <v>2092.264571196</v>
      </c>
      <c r="K127" s="1" t="n">
        <v>-224.260784766</v>
      </c>
      <c r="L127" s="1" t="n">
        <v>80.87881188</v>
      </c>
      <c r="M127" s="1" t="n">
        <v>80.666942732</v>
      </c>
      <c r="O127" s="5" t="n">
        <v>41061</v>
      </c>
    </row>
    <row r="128" customFormat="false" ht="15" hidden="false" customHeight="false" outlineLevel="0" collapsed="false">
      <c r="A128" s="5" t="n">
        <v>41091</v>
      </c>
      <c r="B128" s="3" t="n">
        <f aca="false">YEAR(A128)</f>
        <v>2012</v>
      </c>
      <c r="C128" s="3" t="n">
        <f aca="false">MONTH(A128)</f>
        <v>7</v>
      </c>
      <c r="D128" s="1" t="n">
        <v>93.373314587</v>
      </c>
      <c r="E128" s="1" t="n">
        <v>228.415085215</v>
      </c>
      <c r="F128" s="1" t="n">
        <v>3054.958363158</v>
      </c>
      <c r="G128" s="1" t="n">
        <v>3016.043289862</v>
      </c>
      <c r="H128" s="1" t="n">
        <v>-60.212165466</v>
      </c>
      <c r="I128" s="1" t="n">
        <v>1858.25399901</v>
      </c>
      <c r="J128" s="1" t="n">
        <v>2087.462167036</v>
      </c>
      <c r="K128" s="1" t="n">
        <v>-220.272052112</v>
      </c>
      <c r="L128" s="1" t="n">
        <v>85.669286335</v>
      </c>
      <c r="M128" s="1" t="n">
        <v>80.988417694</v>
      </c>
      <c r="O128" s="5" t="n">
        <v>41091</v>
      </c>
    </row>
    <row r="129" customFormat="false" ht="15" hidden="false" customHeight="false" outlineLevel="0" collapsed="false">
      <c r="A129" s="5" t="n">
        <v>41122</v>
      </c>
      <c r="B129" s="3" t="n">
        <f aca="false">YEAR(A129)</f>
        <v>2012</v>
      </c>
      <c r="C129" s="3" t="n">
        <f aca="false">MONTH(A129)</f>
        <v>8</v>
      </c>
      <c r="D129" s="1" t="n">
        <v>93.757160818</v>
      </c>
      <c r="E129" s="1" t="n">
        <v>229.767719455</v>
      </c>
      <c r="F129" s="1" t="n">
        <v>3335.262169741</v>
      </c>
      <c r="G129" s="1" t="n">
        <v>2932.199135483</v>
      </c>
      <c r="H129" s="1" t="n">
        <v>-230.721795992</v>
      </c>
      <c r="I129" s="1" t="n">
        <v>1917.068540237</v>
      </c>
      <c r="J129" s="1" t="n">
        <v>2077.860309012</v>
      </c>
      <c r="K129" s="1" t="n">
        <v>-115.036526216</v>
      </c>
      <c r="L129" s="1" t="n">
        <v>91.535421425</v>
      </c>
      <c r="M129" s="1" t="n">
        <v>81.321351134</v>
      </c>
      <c r="O129" s="5" t="n">
        <v>41122</v>
      </c>
    </row>
    <row r="130" customFormat="false" ht="15" hidden="false" customHeight="false" outlineLevel="0" collapsed="false">
      <c r="A130" s="5" t="n">
        <v>41153</v>
      </c>
      <c r="B130" s="3" t="n">
        <f aca="false">YEAR(A130)</f>
        <v>2012</v>
      </c>
      <c r="C130" s="3" t="n">
        <f aca="false">MONTH(A130)</f>
        <v>9</v>
      </c>
      <c r="D130" s="1" t="n">
        <v>94.553860703</v>
      </c>
      <c r="E130" s="1" t="n">
        <v>230.776204911</v>
      </c>
      <c r="F130" s="1" t="n">
        <v>3324.938869255</v>
      </c>
      <c r="G130" s="1" t="n">
        <v>3333.033283609</v>
      </c>
      <c r="H130" s="1" t="n">
        <v>-113.573159469</v>
      </c>
      <c r="I130" s="1" t="n">
        <v>2075.0842963</v>
      </c>
      <c r="J130" s="1" t="n">
        <v>2068.472950442</v>
      </c>
      <c r="K130" s="1" t="n">
        <v>-28.58469225</v>
      </c>
      <c r="L130" s="1" t="n">
        <v>93.385632198</v>
      </c>
      <c r="M130" s="1" t="n">
        <v>82.012377938</v>
      </c>
      <c r="O130" s="5" t="n">
        <v>41153</v>
      </c>
    </row>
    <row r="131" customFormat="false" ht="15" hidden="false" customHeight="false" outlineLevel="0" collapsed="false">
      <c r="A131" s="5" t="n">
        <v>41183</v>
      </c>
      <c r="B131" s="3" t="n">
        <f aca="false">YEAR(A131)</f>
        <v>2012</v>
      </c>
      <c r="C131" s="3" t="n">
        <f aca="false">MONTH(A131)</f>
        <v>10</v>
      </c>
      <c r="D131" s="1" t="n">
        <v>94.666947802</v>
      </c>
      <c r="E131" s="1" t="n">
        <v>231.291114962</v>
      </c>
      <c r="F131" s="1" t="n">
        <v>3325.903799722</v>
      </c>
      <c r="G131" s="1" t="n">
        <v>3130.940181193</v>
      </c>
      <c r="H131" s="1" t="n">
        <v>-75.302618115</v>
      </c>
      <c r="I131" s="1" t="n">
        <v>1818.350225089</v>
      </c>
      <c r="J131" s="1" t="n">
        <v>1743.126991148</v>
      </c>
      <c r="K131" s="1" t="n">
        <v>58.464738109</v>
      </c>
      <c r="L131" s="1" t="n">
        <v>91.324552496</v>
      </c>
      <c r="M131" s="1" t="n">
        <v>82.110465333</v>
      </c>
      <c r="O131" s="5" t="n">
        <v>41183</v>
      </c>
    </row>
    <row r="132" customFormat="false" ht="15" hidden="false" customHeight="false" outlineLevel="0" collapsed="false">
      <c r="A132" s="5" t="n">
        <v>41214</v>
      </c>
      <c r="B132" s="3" t="n">
        <f aca="false">YEAR(A132)</f>
        <v>2012</v>
      </c>
      <c r="C132" s="3" t="n">
        <f aca="false">MONTH(A132)</f>
        <v>11</v>
      </c>
      <c r="D132" s="1" t="n">
        <v>94.862686795</v>
      </c>
      <c r="E132" s="1" t="n">
        <v>231.06273732</v>
      </c>
      <c r="F132" s="1" t="n">
        <v>3329.084161027</v>
      </c>
      <c r="G132" s="1" t="n">
        <v>3021.96691201</v>
      </c>
      <c r="H132" s="1" t="n">
        <v>-278.034796682</v>
      </c>
      <c r="I132" s="1" t="n">
        <v>1892.287486122</v>
      </c>
      <c r="J132" s="1" t="n">
        <v>1993.378105642</v>
      </c>
      <c r="K132" s="1" t="n">
        <v>-146.288133067</v>
      </c>
      <c r="L132" s="1" t="n">
        <v>89.424597216</v>
      </c>
      <c r="M132" s="1" t="n">
        <v>82.280241798</v>
      </c>
      <c r="O132" s="5" t="n">
        <v>41214</v>
      </c>
    </row>
    <row r="133" customFormat="false" ht="15" hidden="false" customHeight="false" outlineLevel="0" collapsed="false">
      <c r="A133" s="5" t="n">
        <v>41244</v>
      </c>
      <c r="B133" s="3" t="n">
        <f aca="false">YEAR(A133)</f>
        <v>2012</v>
      </c>
      <c r="C133" s="3" t="n">
        <f aca="false">MONTH(A133)</f>
        <v>12</v>
      </c>
      <c r="D133" s="1" t="n">
        <v>94.780905846</v>
      </c>
      <c r="E133" s="1" t="n">
        <v>231.231318431</v>
      </c>
      <c r="F133" s="1" t="n">
        <v>3024.786866394</v>
      </c>
      <c r="G133" s="1" t="n">
        <v>3094.671938634</v>
      </c>
      <c r="H133" s="1" t="n">
        <v>-168.320828463</v>
      </c>
      <c r="I133" s="1" t="n">
        <v>2020.870150669</v>
      </c>
      <c r="J133" s="1" t="n">
        <v>2054.488134499</v>
      </c>
      <c r="K133" s="1" t="n">
        <v>-44.704544475</v>
      </c>
      <c r="L133" s="1" t="n">
        <v>91.621826008</v>
      </c>
      <c r="M133" s="1" t="n">
        <v>82.209308152</v>
      </c>
      <c r="O133" s="5" t="n">
        <v>41244</v>
      </c>
    </row>
    <row r="134" customFormat="false" ht="15" hidden="false" customHeight="false" outlineLevel="0" collapsed="false">
      <c r="A134" s="5" t="n">
        <v>41275</v>
      </c>
      <c r="B134" s="3" t="n">
        <f aca="false">YEAR(A134)</f>
        <v>2013</v>
      </c>
      <c r="C134" s="3" t="n">
        <f aca="false">MONTH(A134)</f>
        <v>1</v>
      </c>
      <c r="D134" s="1" t="n">
        <v>94.980202211</v>
      </c>
      <c r="E134" s="1" t="n">
        <v>231.517772692</v>
      </c>
      <c r="F134" s="1" t="n">
        <v>3426.795571661</v>
      </c>
      <c r="G134" s="1" t="n">
        <v>3268.872365987</v>
      </c>
      <c r="H134" s="1" t="n">
        <v>-192.708123312</v>
      </c>
      <c r="I134" s="1" t="n">
        <v>2072.574447306</v>
      </c>
      <c r="J134" s="1" t="n">
        <v>2081.826584282</v>
      </c>
      <c r="K134" s="1" t="n">
        <v>-60.385275303</v>
      </c>
      <c r="L134" s="1" t="n">
        <v>97.35919731</v>
      </c>
      <c r="M134" s="1" t="n">
        <v>82.382170145</v>
      </c>
      <c r="O134" s="5" t="n">
        <v>41275</v>
      </c>
    </row>
    <row r="135" customFormat="false" ht="15" hidden="false" customHeight="false" outlineLevel="0" collapsed="false">
      <c r="A135" s="5" t="n">
        <v>41306</v>
      </c>
      <c r="B135" s="3" t="n">
        <f aca="false">YEAR(A135)</f>
        <v>2013</v>
      </c>
      <c r="C135" s="3" t="n">
        <f aca="false">MONTH(A135)</f>
        <v>2</v>
      </c>
      <c r="D135" s="1" t="n">
        <v>95.033217988</v>
      </c>
      <c r="E135" s="1" t="n">
        <v>233.017076944</v>
      </c>
      <c r="F135" s="1" t="n">
        <v>3649.585357236</v>
      </c>
      <c r="G135" s="1" t="n">
        <v>3178.219067777</v>
      </c>
      <c r="H135" s="1" t="n">
        <v>-497.054362599</v>
      </c>
      <c r="I135" s="1" t="n">
        <v>2119.673811906</v>
      </c>
      <c r="J135" s="1" t="n">
        <v>2341.784261865</v>
      </c>
      <c r="K135" s="1" t="n">
        <v>-130.428953778</v>
      </c>
      <c r="L135" s="1" t="n">
        <v>96.769418105</v>
      </c>
      <c r="M135" s="1" t="n">
        <v>82.428153989</v>
      </c>
      <c r="O135" s="5" t="n">
        <v>41306</v>
      </c>
    </row>
    <row r="136" customFormat="false" ht="15" hidden="false" customHeight="false" outlineLevel="0" collapsed="false">
      <c r="A136" s="5" t="n">
        <v>41334</v>
      </c>
      <c r="B136" s="3" t="n">
        <f aca="false">YEAR(A136)</f>
        <v>2013</v>
      </c>
      <c r="C136" s="3" t="n">
        <f aca="false">MONTH(A136)</f>
        <v>3</v>
      </c>
      <c r="D136" s="1" t="n">
        <v>95.314971169</v>
      </c>
      <c r="E136" s="1" t="n">
        <v>232.468548134</v>
      </c>
      <c r="F136" s="1" t="n">
        <v>3480.069788049</v>
      </c>
      <c r="G136" s="1" t="n">
        <v>3334.240626478</v>
      </c>
      <c r="H136" s="1" t="n">
        <v>-290.140121417</v>
      </c>
      <c r="I136" s="1" t="n">
        <v>2062.251636891</v>
      </c>
      <c r="J136" s="1" t="n">
        <v>2224.964399788</v>
      </c>
      <c r="K136" s="1" t="n">
        <v>-126.278398801</v>
      </c>
      <c r="L136" s="1" t="n">
        <v>91.981231639</v>
      </c>
      <c r="M136" s="1" t="n">
        <v>82.672535849</v>
      </c>
      <c r="O136" s="5" t="n">
        <v>41334</v>
      </c>
    </row>
    <row r="137" customFormat="false" ht="15" hidden="false" customHeight="false" outlineLevel="0" collapsed="false">
      <c r="A137" s="5" t="n">
        <v>41365</v>
      </c>
      <c r="B137" s="3" t="n">
        <f aca="false">YEAR(A137)</f>
        <v>2013</v>
      </c>
      <c r="C137" s="3" t="n">
        <f aca="false">MONTH(A137)</f>
        <v>4</v>
      </c>
      <c r="D137" s="1" t="n">
        <v>95.338895895</v>
      </c>
      <c r="E137" s="1" t="n">
        <v>232.039971567</v>
      </c>
      <c r="F137" s="1" t="n">
        <v>3663.1987294</v>
      </c>
      <c r="G137" s="1" t="n">
        <v>3457.647333586</v>
      </c>
      <c r="H137" s="1" t="n">
        <v>-136.558772002</v>
      </c>
      <c r="I137" s="1" t="n">
        <v>1946.050594009</v>
      </c>
      <c r="J137" s="1" t="n">
        <v>2202.71524622</v>
      </c>
      <c r="K137" s="1" t="n">
        <v>-212.886901781</v>
      </c>
      <c r="L137" s="1" t="n">
        <v>90.151593734</v>
      </c>
      <c r="M137" s="1" t="n">
        <v>82.693287235</v>
      </c>
      <c r="O137" s="5" t="n">
        <v>41365</v>
      </c>
    </row>
    <row r="138" customFormat="false" ht="15" hidden="false" customHeight="false" outlineLevel="0" collapsed="false">
      <c r="A138" s="5" t="n">
        <v>41395</v>
      </c>
      <c r="B138" s="3" t="n">
        <f aca="false">YEAR(A138)</f>
        <v>2013</v>
      </c>
      <c r="C138" s="3" t="n">
        <f aca="false">MONTH(A138)</f>
        <v>5</v>
      </c>
      <c r="D138" s="1" t="n">
        <v>95.366354989</v>
      </c>
      <c r="E138" s="1" t="n">
        <v>232.030723103</v>
      </c>
      <c r="F138" s="1" t="n">
        <v>3595.720691749</v>
      </c>
      <c r="G138" s="1" t="n">
        <v>3100.561479828</v>
      </c>
      <c r="H138" s="1" t="n">
        <v>-187.104254353</v>
      </c>
      <c r="I138" s="1" t="n">
        <v>1894.567148313</v>
      </c>
      <c r="J138" s="1" t="n">
        <v>2251.560934815</v>
      </c>
      <c r="K138" s="1" t="n">
        <v>-388.459461294</v>
      </c>
      <c r="L138" s="1" t="n">
        <v>93.883709793</v>
      </c>
      <c r="M138" s="1" t="n">
        <v>82.717104196</v>
      </c>
      <c r="O138" s="5" t="n">
        <v>41395</v>
      </c>
    </row>
    <row r="139" customFormat="false" ht="15" hidden="false" customHeight="false" outlineLevel="0" collapsed="false">
      <c r="A139" s="5" t="n">
        <v>41426</v>
      </c>
      <c r="B139" s="3" t="n">
        <f aca="false">YEAR(A139)</f>
        <v>2013</v>
      </c>
      <c r="C139" s="3" t="n">
        <f aca="false">MONTH(A139)</f>
        <v>6</v>
      </c>
      <c r="D139" s="1" t="n">
        <v>95.520215858</v>
      </c>
      <c r="E139" s="1" t="n">
        <v>232.590067768</v>
      </c>
      <c r="F139" s="1" t="n">
        <v>3609.495193018</v>
      </c>
      <c r="G139" s="1" t="n">
        <v>2872.408949325</v>
      </c>
      <c r="H139" s="1" t="n">
        <v>-627.238503029</v>
      </c>
      <c r="I139" s="1" t="n">
        <v>1974.751381409</v>
      </c>
      <c r="J139" s="1" t="n">
        <v>2201.688937276</v>
      </c>
      <c r="K139" s="1" t="n">
        <v>-182.816555604</v>
      </c>
      <c r="L139" s="1" t="n">
        <v>94.203522609</v>
      </c>
      <c r="M139" s="1" t="n">
        <v>82.850557189</v>
      </c>
      <c r="O139" s="5" t="n">
        <v>41426</v>
      </c>
    </row>
    <row r="140" customFormat="false" ht="15" hidden="false" customHeight="false" outlineLevel="0" collapsed="false">
      <c r="A140" s="5" t="n">
        <v>41456</v>
      </c>
      <c r="B140" s="3" t="n">
        <f aca="false">YEAR(A140)</f>
        <v>2013</v>
      </c>
      <c r="C140" s="3" t="n">
        <f aca="false">MONTH(A140)</f>
        <v>7</v>
      </c>
      <c r="D140" s="1" t="n">
        <v>95.577375407</v>
      </c>
      <c r="E140" s="1" t="n">
        <v>232.924345521</v>
      </c>
      <c r="F140" s="1" t="n">
        <v>3786.09794654</v>
      </c>
      <c r="G140" s="1" t="n">
        <v>3596.119382123</v>
      </c>
      <c r="H140" s="1" t="n">
        <v>53.585799287</v>
      </c>
      <c r="I140" s="1" t="n">
        <v>2123.508129627</v>
      </c>
      <c r="J140" s="1" t="n">
        <v>2167.816709419</v>
      </c>
      <c r="K140" s="1" t="n">
        <v>-13.379931754</v>
      </c>
      <c r="L140" s="1" t="n">
        <v>102.100023395</v>
      </c>
      <c r="M140" s="1" t="n">
        <v>82.900135181</v>
      </c>
      <c r="O140" s="5" t="n">
        <v>41456</v>
      </c>
    </row>
    <row r="141" customFormat="false" ht="15" hidden="false" customHeight="false" outlineLevel="0" collapsed="false">
      <c r="A141" s="5" t="n">
        <v>41487</v>
      </c>
      <c r="B141" s="3" t="n">
        <f aca="false">YEAR(A141)</f>
        <v>2013</v>
      </c>
      <c r="C141" s="3" t="n">
        <f aca="false">MONTH(A141)</f>
        <v>8</v>
      </c>
      <c r="D141" s="1" t="n">
        <v>95.844822387</v>
      </c>
      <c r="E141" s="1" t="n">
        <v>233.317547541</v>
      </c>
      <c r="F141" s="1" t="n">
        <v>3909.99782743</v>
      </c>
      <c r="G141" s="1" t="n">
        <v>3594.270682171</v>
      </c>
      <c r="H141" s="1" t="n">
        <v>-357.872139245</v>
      </c>
      <c r="I141" s="1" t="n">
        <v>2056.367810518</v>
      </c>
      <c r="J141" s="1" t="n">
        <v>2221.71636408</v>
      </c>
      <c r="K141" s="1" t="n">
        <v>-148.901073746</v>
      </c>
      <c r="L141" s="1" t="n">
        <v>104.335120027</v>
      </c>
      <c r="M141" s="1" t="n">
        <v>83.132108393</v>
      </c>
      <c r="O141" s="5" t="n">
        <v>41487</v>
      </c>
    </row>
    <row r="142" customFormat="false" ht="15" hidden="false" customHeight="false" outlineLevel="0" collapsed="false">
      <c r="A142" s="5" t="n">
        <v>41518</v>
      </c>
      <c r="B142" s="3" t="n">
        <f aca="false">YEAR(A142)</f>
        <v>2013</v>
      </c>
      <c r="C142" s="3" t="n">
        <f aca="false">MONTH(A142)</f>
        <v>9</v>
      </c>
      <c r="D142" s="1" t="n">
        <v>96.136871655</v>
      </c>
      <c r="E142" s="1" t="n">
        <v>233.510153059</v>
      </c>
      <c r="F142" s="1" t="n">
        <v>3827.143207843</v>
      </c>
      <c r="G142" s="1" t="n">
        <v>3212.727594762</v>
      </c>
      <c r="H142" s="1" t="n">
        <v>-428.819191139</v>
      </c>
      <c r="I142" s="1" t="n">
        <v>2178.618169503</v>
      </c>
      <c r="J142" s="1" t="n">
        <v>2108.679125523</v>
      </c>
      <c r="K142" s="1" t="n">
        <v>53.511966094</v>
      </c>
      <c r="L142" s="1" t="n">
        <v>104.08719916</v>
      </c>
      <c r="M142" s="1" t="n">
        <v>83.385420682</v>
      </c>
      <c r="O142" s="5" t="n">
        <v>41518</v>
      </c>
    </row>
    <row r="143" customFormat="false" ht="15" hidden="false" customHeight="false" outlineLevel="0" collapsed="false">
      <c r="A143" s="5" t="n">
        <v>41548</v>
      </c>
      <c r="B143" s="3" t="n">
        <f aca="false">YEAR(A143)</f>
        <v>2013</v>
      </c>
      <c r="C143" s="3" t="n">
        <f aca="false">MONTH(A143)</f>
        <v>10</v>
      </c>
      <c r="D143" s="1" t="n">
        <v>96.571134352</v>
      </c>
      <c r="E143" s="1" t="n">
        <v>233.448485512</v>
      </c>
      <c r="F143" s="1" t="n">
        <v>3991.51727925</v>
      </c>
      <c r="G143" s="1" t="n">
        <v>3763.429509159</v>
      </c>
      <c r="H143" s="1" t="n">
        <v>-296.2351648</v>
      </c>
      <c r="I143" s="1" t="n">
        <v>2140.033810287</v>
      </c>
      <c r="J143" s="1" t="n">
        <v>2094.638107585</v>
      </c>
      <c r="K143" s="1" t="n">
        <v>-35.134067581</v>
      </c>
      <c r="L143" s="1" t="n">
        <v>101.082945996</v>
      </c>
      <c r="M143" s="1" t="n">
        <v>83.762083425</v>
      </c>
      <c r="O143" s="5" t="n">
        <v>41548</v>
      </c>
    </row>
    <row r="144" customFormat="false" ht="15" hidden="false" customHeight="false" outlineLevel="0" collapsed="false">
      <c r="A144" s="5" t="n">
        <v>41579</v>
      </c>
      <c r="B144" s="3" t="n">
        <f aca="false">YEAR(A144)</f>
        <v>2013</v>
      </c>
      <c r="C144" s="3" t="n">
        <f aca="false">MONTH(A144)</f>
        <v>11</v>
      </c>
      <c r="D144" s="1" t="n">
        <v>97.022206356</v>
      </c>
      <c r="E144" s="1" t="n">
        <v>233.892317052</v>
      </c>
      <c r="F144" s="1" t="n">
        <v>4094.42992402</v>
      </c>
      <c r="G144" s="1" t="n">
        <v>3662.230885868</v>
      </c>
      <c r="H144" s="1" t="n">
        <v>-573.213408363</v>
      </c>
      <c r="I144" s="1" t="n">
        <v>2131.929821562</v>
      </c>
      <c r="J144" s="1" t="n">
        <v>2035.170797256</v>
      </c>
      <c r="K144" s="1" t="n">
        <v>56.920502273</v>
      </c>
      <c r="L144" s="1" t="n">
        <v>96.595157764</v>
      </c>
      <c r="M144" s="1" t="n">
        <v>84.153325912</v>
      </c>
      <c r="O144" s="5" t="n">
        <v>41579</v>
      </c>
    </row>
    <row r="145" customFormat="false" ht="15" hidden="false" customHeight="false" outlineLevel="0" collapsed="false">
      <c r="A145" s="5" t="n">
        <v>41609</v>
      </c>
      <c r="B145" s="3" t="n">
        <f aca="false">YEAR(A145)</f>
        <v>2013</v>
      </c>
      <c r="C145" s="3" t="n">
        <f aca="false">MONTH(A145)</f>
        <v>12</v>
      </c>
      <c r="D145" s="1" t="n">
        <v>97.338406742</v>
      </c>
      <c r="E145" s="1" t="n">
        <v>234.673685462</v>
      </c>
      <c r="F145" s="1" t="n">
        <v>3896.215997931</v>
      </c>
      <c r="G145" s="1" t="n">
        <v>4005.833209801</v>
      </c>
      <c r="H145" s="1" t="n">
        <v>-741.879837559</v>
      </c>
      <c r="I145" s="1" t="n">
        <v>2145.690806809</v>
      </c>
      <c r="J145" s="1" t="n">
        <v>1898.312630424</v>
      </c>
      <c r="K145" s="1" t="n">
        <v>208.714114919</v>
      </c>
      <c r="L145" s="1" t="n">
        <v>101.55374439</v>
      </c>
      <c r="M145" s="1" t="n">
        <v>84.427585951</v>
      </c>
      <c r="O145" s="5" t="n">
        <v>41609</v>
      </c>
    </row>
    <row r="146" customFormat="false" ht="15" hidden="false" customHeight="false" outlineLevel="0" collapsed="false">
      <c r="A146" s="5" t="n">
        <v>41640</v>
      </c>
      <c r="B146" s="3" t="n">
        <f aca="false">YEAR(A146)</f>
        <v>2014</v>
      </c>
      <c r="C146" s="3" t="n">
        <f aca="false">MONTH(A146)</f>
        <v>1</v>
      </c>
      <c r="D146" s="1" t="n">
        <v>97.78834905</v>
      </c>
      <c r="E146" s="1" t="n">
        <v>235.134361749</v>
      </c>
      <c r="F146" s="1" t="n">
        <v>3918.409289657</v>
      </c>
      <c r="G146" s="1" t="n">
        <v>3367.410454407</v>
      </c>
      <c r="H146" s="1" t="n">
        <v>-326.930852201</v>
      </c>
      <c r="I146" s="1" t="n">
        <v>2169.72457514</v>
      </c>
      <c r="J146" s="1" t="n">
        <v>2176.275575058</v>
      </c>
      <c r="K146" s="1" t="n">
        <v>-44.818569958</v>
      </c>
      <c r="L146" s="1" t="n">
        <v>97.966900257</v>
      </c>
      <c r="M146" s="1" t="n">
        <v>84.817848585</v>
      </c>
      <c r="O146" s="5" t="n">
        <v>41640</v>
      </c>
    </row>
    <row r="147" customFormat="false" ht="15" hidden="false" customHeight="false" outlineLevel="0" collapsed="false">
      <c r="A147" s="5" t="n">
        <v>41671</v>
      </c>
      <c r="B147" s="3" t="n">
        <f aca="false">YEAR(A147)</f>
        <v>2014</v>
      </c>
      <c r="C147" s="3" t="n">
        <f aca="false">MONTH(A147)</f>
        <v>2</v>
      </c>
      <c r="D147" s="1" t="n">
        <v>97.787848694</v>
      </c>
      <c r="E147" s="1" t="n">
        <v>235.622156755</v>
      </c>
      <c r="F147" s="1" t="n">
        <v>3923.370227364</v>
      </c>
      <c r="G147" s="1" t="n">
        <v>3311.009717467</v>
      </c>
      <c r="H147" s="1" t="n">
        <v>-599.1574414</v>
      </c>
      <c r="I147" s="1" t="n">
        <v>2240.401068629</v>
      </c>
      <c r="J147" s="1" t="n">
        <v>2151.714876454</v>
      </c>
      <c r="K147" s="1" t="n">
        <v>143.758944018</v>
      </c>
      <c r="L147" s="1" t="n">
        <v>102.331123446</v>
      </c>
      <c r="M147" s="1" t="n">
        <v>84.817414595</v>
      </c>
      <c r="O147" s="5" t="n">
        <v>41671</v>
      </c>
    </row>
    <row r="148" customFormat="false" ht="15" hidden="false" customHeight="false" outlineLevel="0" collapsed="false">
      <c r="A148" s="5" t="n">
        <v>41699</v>
      </c>
      <c r="B148" s="3" t="n">
        <f aca="false">YEAR(A148)</f>
        <v>2014</v>
      </c>
      <c r="C148" s="3" t="n">
        <f aca="false">MONTH(A148)</f>
        <v>3</v>
      </c>
      <c r="D148" s="1" t="n">
        <v>98.314537157</v>
      </c>
      <c r="E148" s="1" t="n">
        <v>236.090810191</v>
      </c>
      <c r="F148" s="1" t="n">
        <v>3483.778929086</v>
      </c>
      <c r="G148" s="1" t="n">
        <v>3345.211784321</v>
      </c>
      <c r="H148" s="1" t="n">
        <v>-39.478340846</v>
      </c>
      <c r="I148" s="1" t="n">
        <v>2335.700626673</v>
      </c>
      <c r="J148" s="1" t="n">
        <v>2207.516001551</v>
      </c>
      <c r="K148" s="1" t="n">
        <v>187.723106449</v>
      </c>
      <c r="L148" s="1" t="n">
        <v>101.291800728</v>
      </c>
      <c r="M148" s="1" t="n">
        <v>85.274243888</v>
      </c>
      <c r="O148" s="5" t="n">
        <v>41699</v>
      </c>
    </row>
    <row r="149" customFormat="false" ht="15" hidden="false" customHeight="false" outlineLevel="0" collapsed="false">
      <c r="A149" s="5" t="n">
        <v>41730</v>
      </c>
      <c r="B149" s="3" t="n">
        <f aca="false">YEAR(A149)</f>
        <v>2014</v>
      </c>
      <c r="C149" s="3" t="n">
        <f aca="false">MONTH(A149)</f>
        <v>4</v>
      </c>
      <c r="D149" s="1" t="n">
        <v>98.451547068</v>
      </c>
      <c r="E149" s="1" t="n">
        <v>236.642674952</v>
      </c>
      <c r="F149" s="1" t="n">
        <v>4164.188091848</v>
      </c>
      <c r="G149" s="1" t="n">
        <v>3809.169118865</v>
      </c>
      <c r="H149" s="1" t="n">
        <v>-259.039538642</v>
      </c>
      <c r="I149" s="1" t="n">
        <v>1916.456577615</v>
      </c>
      <c r="J149" s="1" t="n">
        <v>2168.253928398</v>
      </c>
      <c r="K149" s="1" t="n">
        <v>-201.056265626</v>
      </c>
      <c r="L149" s="1" t="n">
        <v>100.928190709</v>
      </c>
      <c r="M149" s="1" t="n">
        <v>85.393081008</v>
      </c>
      <c r="O149" s="5" t="n">
        <v>41730</v>
      </c>
    </row>
    <row r="150" customFormat="false" ht="15" hidden="false" customHeight="false" outlineLevel="0" collapsed="false">
      <c r="A150" s="5" t="n">
        <v>41760</v>
      </c>
      <c r="B150" s="3" t="n">
        <f aca="false">YEAR(A150)</f>
        <v>2014</v>
      </c>
      <c r="C150" s="3" t="n">
        <f aca="false">MONTH(A150)</f>
        <v>5</v>
      </c>
      <c r="D150" s="1" t="n">
        <v>98.644664824</v>
      </c>
      <c r="E150" s="1" t="n">
        <v>237.007802338</v>
      </c>
      <c r="F150" s="1" t="n">
        <v>3771.992106304</v>
      </c>
      <c r="G150" s="1" t="n">
        <v>3497.68394632</v>
      </c>
      <c r="H150" s="1" t="n">
        <v>-121.945585202</v>
      </c>
      <c r="I150" s="1" t="n">
        <v>2385.179133378</v>
      </c>
      <c r="J150" s="1" t="n">
        <v>2280.426153497</v>
      </c>
      <c r="K150" s="1" t="n">
        <v>121.914930952</v>
      </c>
      <c r="L150" s="1" t="n">
        <v>100.256625889</v>
      </c>
      <c r="M150" s="1" t="n">
        <v>85.560583914</v>
      </c>
      <c r="O150" s="5" t="n">
        <v>41760</v>
      </c>
    </row>
    <row r="151" customFormat="false" ht="15" hidden="false" customHeight="false" outlineLevel="0" collapsed="false">
      <c r="A151" s="5" t="n">
        <v>41791</v>
      </c>
      <c r="B151" s="3" t="n">
        <f aca="false">YEAR(A151)</f>
        <v>2014</v>
      </c>
      <c r="C151" s="3" t="n">
        <f aca="false">MONTH(A151)</f>
        <v>6</v>
      </c>
      <c r="D151" s="1" t="n">
        <v>99.014033925</v>
      </c>
      <c r="E151" s="1" t="n">
        <v>237.317877215</v>
      </c>
      <c r="F151" s="1" t="n">
        <v>3837.823809501</v>
      </c>
      <c r="G151" s="1" t="n">
        <v>3699.512267357</v>
      </c>
      <c r="H151" s="1" t="n">
        <v>193.704938885</v>
      </c>
      <c r="I151" s="1" t="n">
        <v>2289.283742687</v>
      </c>
      <c r="J151" s="1" t="n">
        <v>2186.869626993</v>
      </c>
      <c r="K151" s="1" t="n">
        <v>150.116445321</v>
      </c>
      <c r="L151" s="1" t="n">
        <v>103.130335945</v>
      </c>
      <c r="M151" s="1" t="n">
        <v>85.880960449</v>
      </c>
      <c r="O151" s="5" t="n">
        <v>41791</v>
      </c>
    </row>
    <row r="152" customFormat="false" ht="15" hidden="false" customHeight="false" outlineLevel="0" collapsed="false">
      <c r="A152" s="5" t="n">
        <v>41821</v>
      </c>
      <c r="B152" s="3" t="n">
        <f aca="false">YEAR(A152)</f>
        <v>2014</v>
      </c>
      <c r="C152" s="3" t="n">
        <f aca="false">MONTH(A152)</f>
        <v>7</v>
      </c>
      <c r="D152" s="1" t="n">
        <v>99.44600073</v>
      </c>
      <c r="E152" s="1" t="n">
        <v>237.595680063</v>
      </c>
      <c r="F152" s="1" t="n">
        <v>4173.621214314</v>
      </c>
      <c r="G152" s="1" t="n">
        <v>3512.929134788</v>
      </c>
      <c r="H152" s="1" t="n">
        <v>-690.480309291</v>
      </c>
      <c r="I152" s="1" t="n">
        <v>2129.468020582</v>
      </c>
      <c r="J152" s="1" t="n">
        <v>2152.575156703</v>
      </c>
      <c r="K152" s="1" t="n">
        <v>-23.995590752</v>
      </c>
      <c r="L152" s="1" t="n">
        <v>99.944500125</v>
      </c>
      <c r="M152" s="1" t="n">
        <v>86.255631823</v>
      </c>
      <c r="O152" s="5" t="n">
        <v>41821</v>
      </c>
    </row>
    <row r="153" customFormat="false" ht="15" hidden="false" customHeight="false" outlineLevel="0" collapsed="false">
      <c r="A153" s="5" t="n">
        <v>41852</v>
      </c>
      <c r="B153" s="3" t="n">
        <f aca="false">YEAR(A153)</f>
        <v>2014</v>
      </c>
      <c r="C153" s="3" t="n">
        <f aca="false">MONTH(A153)</f>
        <v>8</v>
      </c>
      <c r="D153" s="1" t="n">
        <v>99.756027451</v>
      </c>
      <c r="E153" s="1" t="n">
        <v>237.31765414</v>
      </c>
      <c r="F153" s="1" t="n">
        <v>3926.181036507</v>
      </c>
      <c r="G153" s="1" t="n">
        <v>3340.661600509</v>
      </c>
      <c r="H153" s="1" t="n">
        <v>-652.139735257</v>
      </c>
      <c r="I153" s="1" t="n">
        <v>2257.53431803</v>
      </c>
      <c r="J153" s="1" t="n">
        <v>2255.833035104</v>
      </c>
      <c r="K153" s="1" t="n">
        <v>44.567460393</v>
      </c>
      <c r="L153" s="1" t="n">
        <v>94.547807045</v>
      </c>
      <c r="M153" s="1" t="n">
        <v>86.524537063</v>
      </c>
      <c r="O153" s="5" t="n">
        <v>41852</v>
      </c>
    </row>
    <row r="154" customFormat="false" ht="15" hidden="false" customHeight="false" outlineLevel="0" collapsed="false">
      <c r="A154" s="5" t="n">
        <v>41883</v>
      </c>
      <c r="B154" s="3" t="n">
        <f aca="false">YEAR(A154)</f>
        <v>2014</v>
      </c>
      <c r="C154" s="3" t="n">
        <f aca="false">MONTH(A154)</f>
        <v>9</v>
      </c>
      <c r="D154" s="1" t="n">
        <v>100.145916247</v>
      </c>
      <c r="E154" s="1" t="n">
        <v>237.420778148</v>
      </c>
      <c r="F154" s="1" t="n">
        <v>3963.800785176</v>
      </c>
      <c r="G154" s="1" t="n">
        <v>3498.813318831</v>
      </c>
      <c r="H154" s="1" t="n">
        <v>-337.742623313</v>
      </c>
      <c r="I154" s="1" t="n">
        <v>2102.101672229</v>
      </c>
      <c r="J154" s="1" t="n">
        <v>2124.594138289</v>
      </c>
      <c r="K154" s="1" t="n">
        <v>-57.502584531</v>
      </c>
      <c r="L154" s="1" t="n">
        <v>90.746813769</v>
      </c>
      <c r="M154" s="1" t="n">
        <v>86.862711592</v>
      </c>
      <c r="O154" s="5" t="n">
        <v>41883</v>
      </c>
    </row>
    <row r="155" customFormat="false" ht="15" hidden="false" customHeight="false" outlineLevel="0" collapsed="false">
      <c r="A155" s="5" t="n">
        <v>41913</v>
      </c>
      <c r="B155" s="3" t="n">
        <f aca="false">YEAR(A155)</f>
        <v>2014</v>
      </c>
      <c r="C155" s="3" t="n">
        <f aca="false">MONTH(A155)</f>
        <v>10</v>
      </c>
      <c r="D155" s="1" t="n">
        <v>100.415548661</v>
      </c>
      <c r="E155" s="1" t="n">
        <v>237.316711345</v>
      </c>
      <c r="F155" s="1" t="n">
        <v>4229.073796154</v>
      </c>
      <c r="G155" s="1" t="n">
        <v>3338.035069544</v>
      </c>
      <c r="H155" s="1" t="n">
        <v>-733.039230323</v>
      </c>
      <c r="I155" s="1" t="n">
        <v>2058.433632955</v>
      </c>
      <c r="J155" s="1" t="n">
        <v>2234.665431223</v>
      </c>
      <c r="K155" s="1" t="n">
        <v>-236.297320373</v>
      </c>
      <c r="L155" s="1" t="n">
        <v>83.966147702</v>
      </c>
      <c r="M155" s="1" t="n">
        <v>87.096580365</v>
      </c>
      <c r="O155" s="5" t="n">
        <v>41913</v>
      </c>
    </row>
    <row r="156" customFormat="false" ht="15" hidden="false" customHeight="false" outlineLevel="0" collapsed="false">
      <c r="A156" s="5" t="n">
        <v>41944</v>
      </c>
      <c r="B156" s="3" t="n">
        <f aca="false">YEAR(A156)</f>
        <v>2014</v>
      </c>
      <c r="C156" s="3" t="n">
        <f aca="false">MONTH(A156)</f>
        <v>11</v>
      </c>
      <c r="D156" s="1" t="n">
        <v>100.688487349</v>
      </c>
      <c r="E156" s="1" t="n">
        <v>236.935835711</v>
      </c>
      <c r="F156" s="1" t="n">
        <v>3954.474291527</v>
      </c>
      <c r="G156" s="1" t="n">
        <v>3816.390521175</v>
      </c>
      <c r="H156" s="1" t="n">
        <v>-392.529130034</v>
      </c>
      <c r="I156" s="1" t="n">
        <v>2145.251514005</v>
      </c>
      <c r="J156" s="1" t="n">
        <v>2294.17093537</v>
      </c>
      <c r="K156" s="1" t="n">
        <v>-185.897037836</v>
      </c>
      <c r="L156" s="1" t="n">
        <v>78.160708961</v>
      </c>
      <c r="M156" s="1" t="n">
        <v>87.333316874</v>
      </c>
      <c r="O156" s="5" t="n">
        <v>41944</v>
      </c>
    </row>
    <row r="157" customFormat="false" ht="15" hidden="false" customHeight="false" outlineLevel="0" collapsed="false">
      <c r="A157" s="5" t="n">
        <v>41974</v>
      </c>
      <c r="B157" s="3" t="n">
        <f aca="false">YEAR(A157)</f>
        <v>2014</v>
      </c>
      <c r="C157" s="3" t="n">
        <f aca="false">MONTH(A157)</f>
        <v>12</v>
      </c>
      <c r="D157" s="1" t="n">
        <v>100.896459347</v>
      </c>
      <c r="E157" s="1" t="n">
        <v>236.399185787</v>
      </c>
      <c r="F157" s="1" t="n">
        <v>3879.881085047</v>
      </c>
      <c r="G157" s="1" t="n">
        <v>3175.684129834</v>
      </c>
      <c r="H157" s="1" t="n">
        <v>-1326.635917478</v>
      </c>
      <c r="I157" s="1" t="n">
        <v>1640.566351265</v>
      </c>
      <c r="J157" s="1" t="n">
        <v>2207.055999466</v>
      </c>
      <c r="K157" s="1" t="n">
        <v>-601.896748271</v>
      </c>
      <c r="L157" s="1" t="n">
        <v>62.954865365</v>
      </c>
      <c r="M157" s="1" t="n">
        <v>87.513703777</v>
      </c>
      <c r="O157" s="5" t="n">
        <v>41974</v>
      </c>
    </row>
    <row r="158" customFormat="false" ht="15" hidden="false" customHeight="false" outlineLevel="0" collapsed="false">
      <c r="A158" s="5" t="n">
        <v>42005</v>
      </c>
      <c r="B158" s="3" t="n">
        <f aca="false">YEAR(A158)</f>
        <v>2015</v>
      </c>
      <c r="C158" s="3" t="n">
        <f aca="false">MONTH(A158)</f>
        <v>1</v>
      </c>
      <c r="D158" s="1" t="n">
        <v>101.261522994</v>
      </c>
      <c r="E158" s="1" t="n">
        <v>234.843695603</v>
      </c>
      <c r="F158" s="1" t="n">
        <v>3285.602913917</v>
      </c>
      <c r="G158" s="1" t="n">
        <v>3089.574031947</v>
      </c>
      <c r="H158" s="1" t="n">
        <v>-388.270499316</v>
      </c>
      <c r="I158" s="1" t="n">
        <v>1712.902665431</v>
      </c>
      <c r="J158" s="1" t="n">
        <v>2060.395475725</v>
      </c>
      <c r="K158" s="1" t="n">
        <v>-367.483996182</v>
      </c>
      <c r="L158" s="1" t="n">
        <v>50.782595435</v>
      </c>
      <c r="M158" s="1" t="n">
        <v>87.830345927</v>
      </c>
      <c r="O158" s="5" t="n">
        <v>42005</v>
      </c>
    </row>
    <row r="159" customFormat="false" ht="15" hidden="false" customHeight="false" outlineLevel="0" collapsed="false">
      <c r="A159" s="5" t="n">
        <v>42036</v>
      </c>
      <c r="B159" s="3" t="n">
        <f aca="false">YEAR(A159)</f>
        <v>2015</v>
      </c>
      <c r="C159" s="3" t="n">
        <f aca="false">MONTH(A159)</f>
        <v>2</v>
      </c>
      <c r="D159" s="1" t="n">
        <v>101.781542326</v>
      </c>
      <c r="E159" s="1" t="n">
        <v>235.506204645</v>
      </c>
      <c r="F159" s="1" t="n">
        <v>3670.288208806</v>
      </c>
      <c r="G159" s="1" t="n">
        <v>3157.282453855</v>
      </c>
      <c r="H159" s="1" t="n">
        <v>-479.307388647</v>
      </c>
      <c r="I159" s="1" t="n">
        <v>1624.23341914</v>
      </c>
      <c r="J159" s="1" t="n">
        <v>2040.74416829</v>
      </c>
      <c r="K159" s="1" t="n">
        <v>-362.475480891</v>
      </c>
      <c r="L159" s="1" t="n">
        <v>52.444441159</v>
      </c>
      <c r="M159" s="1" t="n">
        <v>88.281390673</v>
      </c>
      <c r="O159" s="5" t="n">
        <v>42036</v>
      </c>
    </row>
    <row r="160" customFormat="false" ht="15" hidden="false" customHeight="false" outlineLevel="0" collapsed="false">
      <c r="A160" s="5" t="n">
        <v>42064</v>
      </c>
      <c r="B160" s="3" t="n">
        <f aca="false">YEAR(A160)</f>
        <v>2015</v>
      </c>
      <c r="C160" s="3" t="n">
        <f aca="false">MONTH(A160)</f>
        <v>3</v>
      </c>
      <c r="D160" s="1" t="n">
        <v>102.062479559</v>
      </c>
      <c r="E160" s="1" t="n">
        <v>236.065602449</v>
      </c>
      <c r="F160" s="1" t="n">
        <v>3575.000097346</v>
      </c>
      <c r="G160" s="1" t="n">
        <v>2976.938764129</v>
      </c>
      <c r="H160" s="1" t="n">
        <v>-620.279075328</v>
      </c>
      <c r="I160" s="1" t="n">
        <v>1649.672183812</v>
      </c>
      <c r="J160" s="1" t="n">
        <v>1971.990493344</v>
      </c>
      <c r="K160" s="1" t="n">
        <v>-333.767046217</v>
      </c>
      <c r="L160" s="1" t="n">
        <v>49.719848716</v>
      </c>
      <c r="M160" s="1" t="n">
        <v>88.525064811</v>
      </c>
      <c r="O160" s="5" t="n">
        <v>42064</v>
      </c>
    </row>
    <row r="161" customFormat="false" ht="15" hidden="false" customHeight="false" outlineLevel="0" collapsed="false">
      <c r="A161" s="5" t="n">
        <v>42095</v>
      </c>
      <c r="B161" s="3" t="n">
        <f aca="false">YEAR(A161)</f>
        <v>2015</v>
      </c>
      <c r="C161" s="3" t="n">
        <f aca="false">MONTH(A161)</f>
        <v>4</v>
      </c>
      <c r="D161" s="1" t="n">
        <v>102.742926949</v>
      </c>
      <c r="E161" s="1" t="n">
        <v>236.207693263</v>
      </c>
      <c r="F161" s="1" t="n">
        <v>3350.871206193</v>
      </c>
      <c r="G161" s="1" t="n">
        <v>2920.708521404</v>
      </c>
      <c r="H161" s="1" t="n">
        <v>-322.209387633</v>
      </c>
      <c r="I161" s="1" t="n">
        <v>1569.552598751</v>
      </c>
      <c r="J161" s="1" t="n">
        <v>1864.004460431</v>
      </c>
      <c r="K161" s="1" t="n">
        <v>-252.799241467</v>
      </c>
      <c r="L161" s="1" t="n">
        <v>53.544411275</v>
      </c>
      <c r="M161" s="1" t="n">
        <v>89.115258676</v>
      </c>
      <c r="O161" s="5" t="n">
        <v>42095</v>
      </c>
    </row>
    <row r="162" customFormat="false" ht="15" hidden="false" customHeight="false" outlineLevel="0" collapsed="false">
      <c r="A162" s="5" t="n">
        <v>42125</v>
      </c>
      <c r="B162" s="3" t="n">
        <f aca="false">YEAR(A162)</f>
        <v>2015</v>
      </c>
      <c r="C162" s="3" t="n">
        <f aca="false">MONTH(A162)</f>
        <v>5</v>
      </c>
      <c r="D162" s="1" t="n">
        <v>103.14354191</v>
      </c>
      <c r="E162" s="1" t="n">
        <v>236.93471576</v>
      </c>
      <c r="F162" s="1" t="n">
        <v>4154.903190293</v>
      </c>
      <c r="G162" s="1" t="n">
        <v>3250.560236868</v>
      </c>
      <c r="H162" s="1" t="n">
        <v>-740.950117877</v>
      </c>
      <c r="I162" s="1" t="n">
        <v>1612.349001148</v>
      </c>
      <c r="J162" s="1" t="n">
        <v>1715.876954883</v>
      </c>
      <c r="K162" s="1" t="n">
        <v>-122.433592398</v>
      </c>
      <c r="L162" s="1" t="n">
        <v>57.12834802</v>
      </c>
      <c r="M162" s="1" t="n">
        <v>89.462736667</v>
      </c>
      <c r="O162" s="5" t="n">
        <v>42125</v>
      </c>
    </row>
    <row r="163" customFormat="false" ht="15" hidden="false" customHeight="false" outlineLevel="0" collapsed="false">
      <c r="A163" s="5" t="n">
        <v>42156</v>
      </c>
      <c r="B163" s="3" t="n">
        <f aca="false">YEAR(A163)</f>
        <v>2015</v>
      </c>
      <c r="C163" s="3" t="n">
        <f aca="false">MONTH(A163)</f>
        <v>6</v>
      </c>
      <c r="D163" s="1" t="n">
        <v>103.807142554</v>
      </c>
      <c r="E163" s="1" t="n">
        <v>237.562674955</v>
      </c>
      <c r="F163" s="1" t="n">
        <v>3858.053308059</v>
      </c>
      <c r="G163" s="1" t="n">
        <v>3358.257901991</v>
      </c>
      <c r="H163" s="1" t="n">
        <v>-378.168483658</v>
      </c>
      <c r="I163" s="1" t="n">
        <v>1609.980296823</v>
      </c>
      <c r="J163" s="1" t="n">
        <v>1747.874086148</v>
      </c>
      <c r="K163" s="1" t="n">
        <v>-114.897057107</v>
      </c>
      <c r="L163" s="1" t="n">
        <v>57.244035182</v>
      </c>
      <c r="M163" s="1" t="n">
        <v>90.038318314</v>
      </c>
      <c r="O163" s="5" t="n">
        <v>42156</v>
      </c>
    </row>
    <row r="164" customFormat="false" ht="15" hidden="false" customHeight="false" outlineLevel="0" collapsed="false">
      <c r="A164" s="5" t="n">
        <v>42186</v>
      </c>
      <c r="B164" s="3" t="n">
        <f aca="false">YEAR(A164)</f>
        <v>2015</v>
      </c>
      <c r="C164" s="3" t="n">
        <f aca="false">MONTH(A164)</f>
        <v>7</v>
      </c>
      <c r="D164" s="1" t="n">
        <v>103.726809575</v>
      </c>
      <c r="E164" s="1" t="n">
        <v>238.036630965</v>
      </c>
      <c r="F164" s="1" t="n">
        <v>3791.60660745</v>
      </c>
      <c r="G164" s="1" t="n">
        <v>3598.255301214</v>
      </c>
      <c r="H164" s="1" t="n">
        <v>-31.488738103</v>
      </c>
      <c r="I164" s="1" t="n">
        <v>1522.108440317</v>
      </c>
      <c r="J164" s="1" t="n">
        <v>1685.280103333</v>
      </c>
      <c r="K164" s="1" t="n">
        <v>-142.787396099</v>
      </c>
      <c r="L164" s="1" t="n">
        <v>47.894010028</v>
      </c>
      <c r="M164" s="1" t="n">
        <v>89.968640581</v>
      </c>
      <c r="O164" s="5" t="n">
        <v>42186</v>
      </c>
    </row>
    <row r="165" customFormat="false" ht="15" hidden="false" customHeight="false" outlineLevel="0" collapsed="false">
      <c r="A165" s="5" t="n">
        <v>42217</v>
      </c>
      <c r="B165" s="3" t="n">
        <f aca="false">YEAR(A165)</f>
        <v>2015</v>
      </c>
      <c r="C165" s="3" t="n">
        <f aca="false">MONTH(A165)</f>
        <v>8</v>
      </c>
      <c r="D165" s="1" t="n">
        <v>103.819340087</v>
      </c>
      <c r="E165" s="1" t="n">
        <v>237.840189444</v>
      </c>
      <c r="F165" s="1" t="n">
        <v>3471.280692962</v>
      </c>
      <c r="G165" s="1" t="n">
        <v>3053.367833641</v>
      </c>
      <c r="H165" s="1" t="n">
        <v>-273.006155439</v>
      </c>
      <c r="I165" s="1" t="n">
        <v>1527.9301532</v>
      </c>
      <c r="J165" s="1" t="n">
        <v>1556.189657772</v>
      </c>
      <c r="K165" s="1" t="n">
        <v>-3.337077122</v>
      </c>
      <c r="L165" s="1" t="n">
        <v>41.647431347</v>
      </c>
      <c r="M165" s="1" t="n">
        <v>90.048897984</v>
      </c>
      <c r="O165" s="5" t="n">
        <v>42217</v>
      </c>
    </row>
    <row r="166" customFormat="false" ht="15" hidden="false" customHeight="false" outlineLevel="0" collapsed="false">
      <c r="A166" s="5" t="n">
        <v>42248</v>
      </c>
      <c r="B166" s="3" t="n">
        <f aca="false">YEAR(A166)</f>
        <v>2015</v>
      </c>
      <c r="C166" s="3" t="n">
        <f aca="false">MONTH(A166)</f>
        <v>9</v>
      </c>
      <c r="D166" s="1" t="n">
        <v>103.916169779</v>
      </c>
      <c r="E166" s="1" t="n">
        <v>237.397363347</v>
      </c>
      <c r="F166" s="1" t="n">
        <v>3489.537674309</v>
      </c>
      <c r="G166" s="1" t="n">
        <v>2837.556224884</v>
      </c>
      <c r="H166" s="1" t="n">
        <v>-520.628757137</v>
      </c>
      <c r="I166" s="1" t="n">
        <v>1381.652084205</v>
      </c>
      <c r="J166" s="1" t="n">
        <v>1590.252892323</v>
      </c>
      <c r="K166" s="1" t="n">
        <v>-206.407880526</v>
      </c>
      <c r="L166" s="1" t="n">
        <v>43.099899691</v>
      </c>
      <c r="M166" s="1" t="n">
        <v>90.132884331</v>
      </c>
      <c r="O166" s="5" t="n">
        <v>42248</v>
      </c>
    </row>
    <row r="167" customFormat="false" ht="15" hidden="false" customHeight="false" outlineLevel="0" collapsed="false">
      <c r="A167" s="5" t="n">
        <v>42278</v>
      </c>
      <c r="B167" s="3" t="n">
        <f aca="false">YEAR(A167)</f>
        <v>2015</v>
      </c>
      <c r="C167" s="3" t="n">
        <f aca="false">MONTH(A167)</f>
        <v>10</v>
      </c>
      <c r="D167" s="1" t="n">
        <v>103.913350255</v>
      </c>
      <c r="E167" s="1" t="n">
        <v>237.680879845</v>
      </c>
      <c r="F167" s="1" t="n">
        <v>3526.649323031</v>
      </c>
      <c r="G167" s="1" t="n">
        <v>2923.675180183</v>
      </c>
      <c r="H167" s="1" t="n">
        <v>-609.353656541</v>
      </c>
      <c r="I167" s="1" t="n">
        <v>1381.944085768</v>
      </c>
      <c r="J167" s="1" t="n">
        <v>1509.226890699</v>
      </c>
      <c r="K167" s="1" t="n">
        <v>-123.437759185</v>
      </c>
      <c r="L167" s="1" t="n">
        <v>45.021964288</v>
      </c>
      <c r="M167" s="1" t="n">
        <v>90.130438783</v>
      </c>
      <c r="O167" s="5" t="n">
        <v>42278</v>
      </c>
    </row>
    <row r="168" customFormat="false" ht="15" hidden="false" customHeight="false" outlineLevel="0" collapsed="false">
      <c r="A168" s="5" t="n">
        <v>42309</v>
      </c>
      <c r="B168" s="3" t="n">
        <f aca="false">YEAR(A168)</f>
        <v>2015</v>
      </c>
      <c r="C168" s="3" t="n">
        <f aca="false">MONTH(A168)</f>
        <v>11</v>
      </c>
      <c r="D168" s="1" t="n">
        <v>104.155849616</v>
      </c>
      <c r="E168" s="1" t="n">
        <v>238.069590147</v>
      </c>
      <c r="F168" s="1" t="n">
        <v>3294.150215496</v>
      </c>
      <c r="G168" s="1" t="n">
        <v>2876.235673522</v>
      </c>
      <c r="H168" s="1" t="n">
        <v>-412.322392382</v>
      </c>
      <c r="I168" s="1" t="n">
        <v>1406.265689802</v>
      </c>
      <c r="J168" s="1" t="n">
        <v>1445.500385614</v>
      </c>
      <c r="K168" s="1" t="n">
        <v>-43.924256336</v>
      </c>
      <c r="L168" s="1" t="n">
        <v>44.669355128</v>
      </c>
      <c r="M168" s="1" t="n">
        <v>90.340773392</v>
      </c>
      <c r="O168" s="5" t="n">
        <v>42309</v>
      </c>
    </row>
    <row r="169" customFormat="false" ht="15" hidden="false" customHeight="false" outlineLevel="0" collapsed="false">
      <c r="A169" s="5" t="n">
        <v>42339</v>
      </c>
      <c r="B169" s="3" t="n">
        <f aca="false">YEAR(A169)</f>
        <v>2015</v>
      </c>
      <c r="C169" s="3" t="n">
        <f aca="false">MONTH(A169)</f>
        <v>12</v>
      </c>
      <c r="D169" s="1" t="n">
        <v>104.288271886</v>
      </c>
      <c r="E169" s="1" t="n">
        <v>238.05097682</v>
      </c>
      <c r="F169" s="1" t="n">
        <v>3469.366891956</v>
      </c>
      <c r="G169" s="1" t="n">
        <v>2859.54356051</v>
      </c>
      <c r="H169" s="1" t="n">
        <v>-1207.849389396</v>
      </c>
      <c r="I169" s="1" t="n">
        <v>1322.623433184</v>
      </c>
      <c r="J169" s="1" t="n">
        <v>1316.598849207</v>
      </c>
      <c r="K169" s="1" t="n">
        <v>-7.0242882</v>
      </c>
      <c r="L169" s="1" t="n">
        <v>40.921355544</v>
      </c>
      <c r="M169" s="1" t="n">
        <v>90.455631371</v>
      </c>
      <c r="O169" s="5" t="n">
        <v>42339</v>
      </c>
    </row>
    <row r="170" customFormat="false" ht="15" hidden="false" customHeight="false" outlineLevel="0" collapsed="false">
      <c r="A170" s="5" t="n">
        <v>42370</v>
      </c>
      <c r="B170" s="3" t="n">
        <f aca="false">YEAR(A170)</f>
        <v>2016</v>
      </c>
      <c r="C170" s="3" t="n">
        <f aca="false">MONTH(A170)</f>
        <v>1</v>
      </c>
      <c r="D170" s="1" t="n">
        <v>104.405625525</v>
      </c>
      <c r="E170" s="1" t="n">
        <v>237.955046913</v>
      </c>
      <c r="F170" s="1" t="n">
        <v>3464.269169934</v>
      </c>
      <c r="G170" s="1" t="n">
        <v>2877.275388048</v>
      </c>
      <c r="H170" s="1" t="n">
        <v>-793.871973859</v>
      </c>
      <c r="I170" s="1" t="n">
        <v>1230.546279054</v>
      </c>
      <c r="J170" s="1" t="n">
        <v>1316.48082779</v>
      </c>
      <c r="K170" s="1" t="n">
        <v>-69.334800618</v>
      </c>
      <c r="L170" s="1" t="n">
        <v>34.865149411</v>
      </c>
      <c r="M170" s="1" t="n">
        <v>90.557419398</v>
      </c>
      <c r="O170" s="5" t="n">
        <v>42370</v>
      </c>
    </row>
    <row r="171" customFormat="false" ht="15" hidden="false" customHeight="false" outlineLevel="0" collapsed="false">
      <c r="A171" s="5" t="n">
        <v>42401</v>
      </c>
      <c r="B171" s="3" t="n">
        <f aca="false">YEAR(A171)</f>
        <v>2016</v>
      </c>
      <c r="C171" s="3" t="n">
        <f aca="false">MONTH(A171)</f>
        <v>2</v>
      </c>
      <c r="D171" s="1" t="n">
        <v>104.43981439</v>
      </c>
      <c r="E171" s="1" t="n">
        <v>237.80572216</v>
      </c>
      <c r="F171" s="1" t="n">
        <v>3758.035387795</v>
      </c>
      <c r="G171" s="1" t="n">
        <v>3030.268753179</v>
      </c>
      <c r="H171" s="1" t="n">
        <v>-402.642278723</v>
      </c>
      <c r="I171" s="1" t="n">
        <v>1250.935705173</v>
      </c>
      <c r="J171" s="1" t="n">
        <v>1346.648269383</v>
      </c>
      <c r="K171" s="1" t="n">
        <v>-180.661000225</v>
      </c>
      <c r="L171" s="1" t="n">
        <v>32.461924958</v>
      </c>
      <c r="M171" s="1" t="n">
        <v>90.587073503</v>
      </c>
      <c r="O171" s="5" t="n">
        <v>42401</v>
      </c>
    </row>
    <row r="172" customFormat="false" ht="15" hidden="false" customHeight="false" outlineLevel="0" collapsed="false">
      <c r="A172" s="5" t="n">
        <v>42430</v>
      </c>
      <c r="B172" s="3" t="n">
        <f aca="false">YEAR(A172)</f>
        <v>2016</v>
      </c>
      <c r="C172" s="3" t="n">
        <f aca="false">MONTH(A172)</f>
        <v>3</v>
      </c>
      <c r="D172" s="1" t="n">
        <v>104.491781</v>
      </c>
      <c r="E172" s="1" t="n">
        <v>238.190305651</v>
      </c>
      <c r="F172" s="1" t="n">
        <v>3569.879916405</v>
      </c>
      <c r="G172" s="1" t="n">
        <v>2945.099753098</v>
      </c>
      <c r="H172" s="1" t="n">
        <v>-592.787663619</v>
      </c>
      <c r="I172" s="1" t="n">
        <v>1247.275851775</v>
      </c>
      <c r="J172" s="1" t="n">
        <v>1189.9728039</v>
      </c>
      <c r="K172" s="1" t="n">
        <v>46.401885108</v>
      </c>
      <c r="L172" s="1" t="n">
        <v>40.118975834</v>
      </c>
      <c r="M172" s="1" t="n">
        <v>90.632147339</v>
      </c>
      <c r="O172" s="5" t="n">
        <v>42430</v>
      </c>
    </row>
    <row r="173" customFormat="false" ht="15" hidden="false" customHeight="false" outlineLevel="0" collapsed="false">
      <c r="A173" s="5" t="n">
        <v>42461</v>
      </c>
      <c r="B173" s="3" t="n">
        <f aca="false">YEAR(A173)</f>
        <v>2016</v>
      </c>
      <c r="C173" s="3" t="n">
        <f aca="false">MONTH(A173)</f>
        <v>4</v>
      </c>
      <c r="D173" s="1" t="n">
        <v>104.598701156</v>
      </c>
      <c r="E173" s="1" t="n">
        <v>238.86537283</v>
      </c>
      <c r="F173" s="1" t="n">
        <v>3320.114024152</v>
      </c>
      <c r="G173" s="1" t="n">
        <v>2699.467140538</v>
      </c>
      <c r="H173" s="1" t="n">
        <v>-691.206507139</v>
      </c>
      <c r="I173" s="1" t="n">
        <v>1285.756819382</v>
      </c>
      <c r="J173" s="1" t="n">
        <v>1219.996677735</v>
      </c>
      <c r="K173" s="1" t="n">
        <v>51.124071362</v>
      </c>
      <c r="L173" s="1" t="n">
        <v>39.68110184</v>
      </c>
      <c r="M173" s="1" t="n">
        <v>90.724885766</v>
      </c>
      <c r="O173" s="5" t="n">
        <v>42461</v>
      </c>
    </row>
    <row r="174" customFormat="false" ht="15" hidden="false" customHeight="false" outlineLevel="0" collapsed="false">
      <c r="A174" s="5" t="n">
        <v>42491</v>
      </c>
      <c r="B174" s="3" t="n">
        <f aca="false">YEAR(A174)</f>
        <v>2016</v>
      </c>
      <c r="C174" s="3" t="n">
        <f aca="false">MONTH(A174)</f>
        <v>5</v>
      </c>
      <c r="D174" s="1" t="n">
        <v>104.821020993</v>
      </c>
      <c r="E174" s="1" t="n">
        <v>239.380346398</v>
      </c>
      <c r="F174" s="1" t="n">
        <v>3375.349186462</v>
      </c>
      <c r="G174" s="1" t="n">
        <v>2443.709057513</v>
      </c>
      <c r="H174" s="1" t="n">
        <v>-806.213049406</v>
      </c>
      <c r="I174" s="1" t="n">
        <v>1396.689443614</v>
      </c>
      <c r="J174" s="1" t="n">
        <v>1185.322180704</v>
      </c>
      <c r="K174" s="1" t="n">
        <v>176.143524131</v>
      </c>
      <c r="L174" s="1" t="n">
        <v>43.946802102</v>
      </c>
      <c r="M174" s="1" t="n">
        <v>90.917717432</v>
      </c>
      <c r="O174" s="5" t="n">
        <v>42491</v>
      </c>
    </row>
    <row r="175" customFormat="false" ht="15" hidden="false" customHeight="false" outlineLevel="0" collapsed="false">
      <c r="A175" s="5" t="n">
        <v>42522</v>
      </c>
      <c r="B175" s="3" t="n">
        <f aca="false">YEAR(A175)</f>
        <v>2016</v>
      </c>
      <c r="C175" s="3" t="n">
        <f aca="false">MONTH(A175)</f>
        <v>6</v>
      </c>
      <c r="D175" s="1" t="n">
        <v>105.428362574</v>
      </c>
      <c r="E175" s="1" t="n">
        <v>239.986120173</v>
      </c>
      <c r="F175" s="1" t="n">
        <v>3610.63517575</v>
      </c>
      <c r="G175" s="1" t="n">
        <v>2953.327708426</v>
      </c>
      <c r="H175" s="1" t="n">
        <v>-441.831978413</v>
      </c>
      <c r="I175" s="1" t="n">
        <v>1489.168538295</v>
      </c>
      <c r="J175" s="1" t="n">
        <v>1206.10031214</v>
      </c>
      <c r="K175" s="1" t="n">
        <v>336.229881913</v>
      </c>
      <c r="L175" s="1" t="n">
        <v>46.74650809</v>
      </c>
      <c r="M175" s="1" t="n">
        <v>91.444502133</v>
      </c>
      <c r="O175" s="5" t="n">
        <v>42522</v>
      </c>
    </row>
    <row r="176" customFormat="false" ht="15" hidden="false" customHeight="false" outlineLevel="0" collapsed="false">
      <c r="A176" s="5" t="n">
        <v>42552</v>
      </c>
      <c r="B176" s="3" t="n">
        <f aca="false">YEAR(A176)</f>
        <v>2016</v>
      </c>
      <c r="C176" s="3" t="n">
        <f aca="false">MONTH(A176)</f>
        <v>7</v>
      </c>
      <c r="D176" s="1" t="n">
        <v>105.329421948</v>
      </c>
      <c r="E176" s="1" t="n">
        <v>240.078716759</v>
      </c>
      <c r="F176" s="1" t="n">
        <v>3343.933255974</v>
      </c>
      <c r="G176" s="1" t="n">
        <v>2825.547185195</v>
      </c>
      <c r="H176" s="1" t="n">
        <v>-711.680421137</v>
      </c>
      <c r="I176" s="1" t="n">
        <v>1418.070204411</v>
      </c>
      <c r="J176" s="1" t="n">
        <v>1213.764558323</v>
      </c>
      <c r="K176" s="1" t="n">
        <v>187.275139983</v>
      </c>
      <c r="L176" s="1" t="n">
        <v>42.030797194</v>
      </c>
      <c r="M176" s="1" t="n">
        <v>91.358684844</v>
      </c>
      <c r="O176" s="5" t="n">
        <v>42552</v>
      </c>
    </row>
    <row r="177" customFormat="false" ht="15" hidden="false" customHeight="false" outlineLevel="0" collapsed="false">
      <c r="A177" s="5" t="n">
        <v>42583</v>
      </c>
      <c r="B177" s="3" t="n">
        <f aca="false">YEAR(A177)</f>
        <v>2016</v>
      </c>
      <c r="C177" s="3" t="n">
        <f aca="false">MONTH(A177)</f>
        <v>8</v>
      </c>
      <c r="D177" s="1" t="n">
        <v>105.237337194</v>
      </c>
      <c r="E177" s="1" t="n">
        <v>240.428955413</v>
      </c>
      <c r="F177" s="1" t="n">
        <v>3716.433861771</v>
      </c>
      <c r="G177" s="1" t="n">
        <v>2907.227680148</v>
      </c>
      <c r="H177" s="1" t="n">
        <v>-525.016190456</v>
      </c>
      <c r="I177" s="1" t="n">
        <v>1393.53288957</v>
      </c>
      <c r="J177" s="1" t="n">
        <v>1387.673593926</v>
      </c>
      <c r="K177" s="1" t="n">
        <v>48.00612583</v>
      </c>
      <c r="L177" s="1" t="n">
        <v>44.35408031</v>
      </c>
      <c r="M177" s="1" t="n">
        <v>91.278814074</v>
      </c>
      <c r="O177" s="5" t="n">
        <v>42583</v>
      </c>
    </row>
    <row r="178" customFormat="false" ht="15" hidden="false" customHeight="false" outlineLevel="0" collapsed="false">
      <c r="A178" s="5" t="n">
        <v>42614</v>
      </c>
      <c r="B178" s="3" t="n">
        <f aca="false">YEAR(A178)</f>
        <v>2016</v>
      </c>
      <c r="C178" s="3" t="n">
        <f aca="false">MONTH(A178)</f>
        <v>9</v>
      </c>
      <c r="D178" s="1" t="n">
        <v>105.266886757</v>
      </c>
      <c r="E178" s="1" t="n">
        <v>240.976141663</v>
      </c>
      <c r="F178" s="1" t="n">
        <v>3755.799456355</v>
      </c>
      <c r="G178" s="1" t="n">
        <v>2854.94825735</v>
      </c>
      <c r="H178" s="1" t="n">
        <v>-749.566344586</v>
      </c>
      <c r="I178" s="1" t="n">
        <v>1432.047301427</v>
      </c>
      <c r="J178" s="1" t="n">
        <v>1266.87751384</v>
      </c>
      <c r="K178" s="1" t="n">
        <v>152.788870769</v>
      </c>
      <c r="L178" s="1" t="n">
        <v>43.421060019</v>
      </c>
      <c r="M178" s="1" t="n">
        <v>91.304444227</v>
      </c>
      <c r="O178" s="5" t="n">
        <v>42614</v>
      </c>
    </row>
    <row r="179" customFormat="false" ht="15" hidden="false" customHeight="false" outlineLevel="0" collapsed="false">
      <c r="A179" s="5" t="n">
        <v>42644</v>
      </c>
      <c r="B179" s="3" t="n">
        <f aca="false">YEAR(A179)</f>
        <v>2016</v>
      </c>
      <c r="C179" s="3" t="n">
        <f aca="false">MONTH(A179)</f>
        <v>10</v>
      </c>
      <c r="D179" s="1" t="n">
        <v>105.290025769</v>
      </c>
      <c r="E179" s="1" t="n">
        <v>241.564813778</v>
      </c>
      <c r="F179" s="1" t="n">
        <v>3534.350345747</v>
      </c>
      <c r="G179" s="1" t="n">
        <v>2935.265013261</v>
      </c>
      <c r="H179" s="1" t="n">
        <v>-492.524343139</v>
      </c>
      <c r="I179" s="1" t="n">
        <v>1560.034039186</v>
      </c>
      <c r="J179" s="1" t="n">
        <v>1361.256913416</v>
      </c>
      <c r="K179" s="1" t="n">
        <v>243.957374658</v>
      </c>
      <c r="L179" s="1" t="n">
        <v>48.971973516</v>
      </c>
      <c r="M179" s="1" t="n">
        <v>91.324514115</v>
      </c>
      <c r="O179" s="5" t="n">
        <v>42644</v>
      </c>
    </row>
    <row r="180" customFormat="false" ht="15" hidden="false" customHeight="false" outlineLevel="0" collapsed="false">
      <c r="A180" s="5" t="n">
        <v>42675</v>
      </c>
      <c r="B180" s="3" t="n">
        <f aca="false">YEAR(A180)</f>
        <v>2016</v>
      </c>
      <c r="C180" s="3" t="n">
        <f aca="false">MONTH(A180)</f>
        <v>11</v>
      </c>
      <c r="D180" s="1" t="n">
        <v>105.295953832</v>
      </c>
      <c r="E180" s="1" t="n">
        <v>242.010303836</v>
      </c>
      <c r="F180" s="1" t="n">
        <v>3741.664532249</v>
      </c>
      <c r="G180" s="1" t="n">
        <v>2794.763088055</v>
      </c>
      <c r="H180" s="1" t="n">
        <v>-1066.303215871</v>
      </c>
      <c r="I180" s="1" t="n">
        <v>1502.195288613</v>
      </c>
      <c r="J180" s="1" t="n">
        <v>1385.350467853</v>
      </c>
      <c r="K180" s="1" t="n">
        <v>119.548899797</v>
      </c>
      <c r="L180" s="1" t="n">
        <v>46.776583137</v>
      </c>
      <c r="M180" s="1" t="n">
        <v>91.329655889</v>
      </c>
      <c r="O180" s="5" t="n">
        <v>42675</v>
      </c>
    </row>
    <row r="181" customFormat="false" ht="15" hidden="false" customHeight="false" outlineLevel="0" collapsed="false">
      <c r="A181" s="5" t="n">
        <v>42705</v>
      </c>
      <c r="B181" s="3" t="n">
        <f aca="false">YEAR(A181)</f>
        <v>2016</v>
      </c>
      <c r="C181" s="3" t="n">
        <f aca="false">MONTH(A181)</f>
        <v>12</v>
      </c>
      <c r="D181" s="1" t="n">
        <v>105.432085928</v>
      </c>
      <c r="E181" s="1" t="n">
        <v>242.874928128</v>
      </c>
      <c r="F181" s="1" t="n">
        <v>3775.602437529</v>
      </c>
      <c r="G181" s="1" t="n">
        <v>4648.230120551</v>
      </c>
      <c r="H181" s="1" t="n">
        <v>-87.871788191</v>
      </c>
      <c r="I181" s="1" t="n">
        <v>1570.39473938</v>
      </c>
      <c r="J181" s="1" t="n">
        <v>1480.841721516</v>
      </c>
      <c r="K181" s="1" t="n">
        <v>52.377907115</v>
      </c>
      <c r="L181" s="1" t="n">
        <v>55.066763075</v>
      </c>
      <c r="M181" s="1" t="n">
        <v>91.447731627</v>
      </c>
      <c r="O181" s="5" t="n">
        <v>42705</v>
      </c>
    </row>
    <row r="182" customFormat="false" ht="15" hidden="false" customHeight="false" outlineLevel="0" collapsed="false">
      <c r="A182" s="5" t="n">
        <v>42736</v>
      </c>
      <c r="B182" s="3" t="n">
        <f aca="false">YEAR(A182)</f>
        <v>2017</v>
      </c>
      <c r="C182" s="3" t="n">
        <f aca="false">MONTH(A182)</f>
        <v>1</v>
      </c>
      <c r="D182" s="1" t="n">
        <v>105.338649725</v>
      </c>
      <c r="E182" s="1" t="n">
        <v>243.753413749</v>
      </c>
      <c r="F182" s="1" t="n">
        <v>3330.379810764</v>
      </c>
      <c r="G182" s="1" t="n">
        <v>3351.308796778</v>
      </c>
      <c r="H182" s="1" t="n">
        <v>-174.923784361</v>
      </c>
      <c r="I182" s="1" t="n">
        <v>1658.135850136</v>
      </c>
      <c r="J182" s="1" t="n">
        <v>1469.454940572</v>
      </c>
      <c r="K182" s="1" t="n">
        <v>173.240990381</v>
      </c>
      <c r="L182" s="1" t="n">
        <v>55.17319498</v>
      </c>
      <c r="M182" s="1" t="n">
        <v>91.366688662</v>
      </c>
      <c r="O182" s="5" t="n">
        <v>42736</v>
      </c>
    </row>
    <row r="183" customFormat="false" ht="15" hidden="false" customHeight="false" outlineLevel="0" collapsed="false">
      <c r="A183" s="5" t="n">
        <v>42767</v>
      </c>
      <c r="B183" s="3" t="n">
        <f aca="false">YEAR(A183)</f>
        <v>2017</v>
      </c>
      <c r="C183" s="3" t="n">
        <f aca="false">MONTH(A183)</f>
        <v>2</v>
      </c>
      <c r="D183" s="1" t="n">
        <v>105.439106636</v>
      </c>
      <c r="E183" s="1" t="n">
        <v>244.186608335</v>
      </c>
      <c r="F183" s="1" t="n">
        <v>3542.534857327</v>
      </c>
      <c r="G183" s="1" t="n">
        <v>2961.890682444</v>
      </c>
      <c r="H183" s="1" t="n">
        <v>-565.348498026</v>
      </c>
      <c r="I183" s="1" t="n">
        <v>1670.954357814</v>
      </c>
      <c r="J183" s="1" t="n">
        <v>1408.40661244</v>
      </c>
      <c r="K183" s="1" t="n">
        <v>228.063253889</v>
      </c>
      <c r="L183" s="1" t="n">
        <v>54.882325856</v>
      </c>
      <c r="M183" s="1" t="n">
        <v>91.453821119</v>
      </c>
      <c r="O183" s="5" t="n">
        <v>42767</v>
      </c>
    </row>
    <row r="184" customFormat="false" ht="15" hidden="false" customHeight="false" outlineLevel="0" collapsed="false">
      <c r="A184" s="5" t="n">
        <v>42795</v>
      </c>
      <c r="B184" s="3" t="n">
        <f aca="false">YEAR(A184)</f>
        <v>2017</v>
      </c>
      <c r="C184" s="3" t="n">
        <f aca="false">MONTH(A184)</f>
        <v>3</v>
      </c>
      <c r="D184" s="1" t="n">
        <v>105.542398194</v>
      </c>
      <c r="E184" s="1" t="n">
        <v>243.896470351</v>
      </c>
      <c r="F184" s="1" t="n">
        <v>3922.966206956</v>
      </c>
      <c r="G184" s="1" t="n">
        <v>3027.769302819</v>
      </c>
      <c r="H184" s="1" t="n">
        <v>-714.117320907</v>
      </c>
      <c r="I184" s="1" t="n">
        <v>1516.186717657</v>
      </c>
      <c r="J184" s="1" t="n">
        <v>1545.370274268</v>
      </c>
      <c r="K184" s="1" t="n">
        <v>-18.427556772</v>
      </c>
      <c r="L184" s="1" t="n">
        <v>51.878531871</v>
      </c>
      <c r="M184" s="1" t="n">
        <v>91.543412239</v>
      </c>
      <c r="O184" s="5" t="n">
        <v>42795</v>
      </c>
    </row>
    <row r="185" customFormat="false" ht="15" hidden="false" customHeight="false" outlineLevel="0" collapsed="false">
      <c r="A185" s="5" t="n">
        <v>42826</v>
      </c>
      <c r="B185" s="3" t="n">
        <f aca="false">YEAR(A185)</f>
        <v>2017</v>
      </c>
      <c r="C185" s="3" t="n">
        <f aca="false">MONTH(A185)</f>
        <v>4</v>
      </c>
      <c r="D185" s="1" t="n">
        <v>105.765874631</v>
      </c>
      <c r="E185" s="1" t="n">
        <v>244.141159225</v>
      </c>
      <c r="F185" s="1" t="n">
        <v>3629.018378399</v>
      </c>
      <c r="G185" s="1" t="n">
        <v>3010.805550609</v>
      </c>
      <c r="H185" s="1" t="n">
        <v>-618.983821457</v>
      </c>
      <c r="I185" s="1" t="n">
        <v>1581.709231554</v>
      </c>
      <c r="J185" s="1" t="n">
        <v>1467.634464942</v>
      </c>
      <c r="K185" s="1" t="n">
        <v>110.04807328</v>
      </c>
      <c r="L185" s="1" t="n">
        <v>49.618062059</v>
      </c>
      <c r="M185" s="1" t="n">
        <v>91.737247095</v>
      </c>
      <c r="O185" s="5" t="n">
        <v>42826</v>
      </c>
    </row>
    <row r="186" customFormat="false" ht="15" hidden="false" customHeight="false" outlineLevel="0" collapsed="false">
      <c r="A186" s="5" t="n">
        <v>42856</v>
      </c>
      <c r="B186" s="3" t="n">
        <f aca="false">YEAR(A186)</f>
        <v>2017</v>
      </c>
      <c r="C186" s="3" t="n">
        <f aca="false">MONTH(A186)</f>
        <v>5</v>
      </c>
      <c r="D186" s="1" t="n">
        <v>105.966022333</v>
      </c>
      <c r="E186" s="1" t="n">
        <v>243.941534546</v>
      </c>
      <c r="F186" s="1" t="n">
        <v>3532.32215173</v>
      </c>
      <c r="G186" s="1" t="n">
        <v>2916.177975776</v>
      </c>
      <c r="H186" s="1" t="n">
        <v>-304.841187657</v>
      </c>
      <c r="I186" s="1" t="n">
        <v>1467.742039948</v>
      </c>
      <c r="J186" s="1" t="n">
        <v>1490.753758597</v>
      </c>
      <c r="K186" s="1" t="n">
        <v>-8.798343508</v>
      </c>
      <c r="L186" s="1" t="n">
        <v>46.090053217</v>
      </c>
      <c r="M186" s="1" t="n">
        <v>91.910847505</v>
      </c>
      <c r="O186" s="5" t="n">
        <v>42856</v>
      </c>
    </row>
    <row r="187" customFormat="false" ht="15" hidden="false" customHeight="false" outlineLevel="0" collapsed="false">
      <c r="A187" s="5" t="n">
        <v>42887</v>
      </c>
      <c r="B187" s="3" t="n">
        <f aca="false">YEAR(A187)</f>
        <v>2017</v>
      </c>
      <c r="C187" s="3" t="n">
        <f aca="false">MONTH(A187)</f>
        <v>6</v>
      </c>
      <c r="D187" s="1" t="n">
        <v>105.573092019</v>
      </c>
      <c r="E187" s="1" t="n">
        <v>244.052466004</v>
      </c>
      <c r="F187" s="1" t="n">
        <v>3459.325050467</v>
      </c>
      <c r="G187" s="1" t="n">
        <v>2926.619802872</v>
      </c>
      <c r="H187" s="1" t="n">
        <v>-468.584397888</v>
      </c>
      <c r="I187" s="1" t="n">
        <v>1479.042267845</v>
      </c>
      <c r="J187" s="1" t="n">
        <v>1653.16623263</v>
      </c>
      <c r="K187" s="1" t="n">
        <v>-161.82171033</v>
      </c>
      <c r="L187" s="1" t="n">
        <v>43.644773015</v>
      </c>
      <c r="M187" s="1" t="n">
        <v>91.570034881</v>
      </c>
      <c r="O187" s="5" t="n">
        <v>42887</v>
      </c>
    </row>
    <row r="188" customFormat="false" ht="15" hidden="false" customHeight="false" outlineLevel="0" collapsed="false">
      <c r="A188" s="5" t="n">
        <v>42917</v>
      </c>
      <c r="B188" s="3" t="n">
        <f aca="false">YEAR(A188)</f>
        <v>2017</v>
      </c>
      <c r="C188" s="3" t="n">
        <f aca="false">MONTH(A188)</f>
        <v>7</v>
      </c>
      <c r="D188" s="1" t="n">
        <v>105.430712508</v>
      </c>
      <c r="E188" s="1" t="n">
        <v>244.268265509</v>
      </c>
      <c r="F188" s="1" t="n">
        <v>3222.330332869</v>
      </c>
      <c r="G188" s="1" t="n">
        <v>3013.611640749</v>
      </c>
      <c r="H188" s="1" t="n">
        <v>-172.891987078</v>
      </c>
      <c r="I188" s="1" t="n">
        <v>1541.48532169</v>
      </c>
      <c r="J188" s="1" t="n">
        <v>1601.929989021</v>
      </c>
      <c r="K188" s="1" t="n">
        <v>-62.15875512</v>
      </c>
      <c r="L188" s="1" t="n">
        <v>44.54533413</v>
      </c>
      <c r="M188" s="1" t="n">
        <v>91.446540375</v>
      </c>
      <c r="O188" s="5" t="n">
        <v>42917</v>
      </c>
    </row>
    <row r="189" customFormat="false" ht="15" hidden="false" customHeight="false" outlineLevel="0" collapsed="false">
      <c r="A189" s="5" t="n">
        <v>42948</v>
      </c>
      <c r="B189" s="3" t="n">
        <f aca="false">YEAR(A189)</f>
        <v>2017</v>
      </c>
      <c r="C189" s="3" t="n">
        <f aca="false">MONTH(A189)</f>
        <v>8</v>
      </c>
      <c r="D189" s="1" t="n">
        <v>105.504441025</v>
      </c>
      <c r="E189" s="1" t="n">
        <v>245.138242196</v>
      </c>
      <c r="F189" s="1" t="n">
        <v>3451.637167054</v>
      </c>
      <c r="G189" s="1" t="n">
        <v>2917.153546081</v>
      </c>
      <c r="H189" s="1" t="n">
        <v>-420.676679181</v>
      </c>
      <c r="I189" s="1" t="n">
        <v>1455.593683932</v>
      </c>
      <c r="J189" s="1" t="n">
        <v>1634.83097491</v>
      </c>
      <c r="K189" s="1" t="n">
        <v>-172.417555775</v>
      </c>
      <c r="L189" s="1" t="n">
        <v>47.913353109</v>
      </c>
      <c r="M189" s="1" t="n">
        <v>91.510489652</v>
      </c>
      <c r="O189" s="5" t="n">
        <v>42948</v>
      </c>
    </row>
    <row r="190" customFormat="false" ht="15" hidden="false" customHeight="false" outlineLevel="0" collapsed="false">
      <c r="A190" s="5" t="n">
        <v>42979</v>
      </c>
      <c r="B190" s="3" t="n">
        <f aca="false">YEAR(A190)</f>
        <v>2017</v>
      </c>
      <c r="C190" s="3" t="n">
        <f aca="false">MONTH(A190)</f>
        <v>9</v>
      </c>
      <c r="D190" s="1" t="n">
        <v>105.239179301</v>
      </c>
      <c r="E190" s="1" t="n">
        <v>246.429097173</v>
      </c>
      <c r="F190" s="1" t="n">
        <v>3354.666849445</v>
      </c>
      <c r="G190" s="1" t="n">
        <v>2978.667640227</v>
      </c>
      <c r="H190" s="1" t="n">
        <v>-308.753967432</v>
      </c>
      <c r="I190" s="1" t="n">
        <v>1652.692793214</v>
      </c>
      <c r="J190" s="1" t="n">
        <v>1685.190577656</v>
      </c>
      <c r="K190" s="1" t="n">
        <v>-57.983915338</v>
      </c>
      <c r="L190" s="1" t="n">
        <v>48.555830096</v>
      </c>
      <c r="M190" s="1" t="n">
        <v>91.280411846</v>
      </c>
      <c r="O190" s="5" t="n">
        <v>42979</v>
      </c>
    </row>
    <row r="191" customFormat="false" ht="15" hidden="false" customHeight="false" outlineLevel="0" collapsed="false">
      <c r="A191" s="5" t="n">
        <v>43009</v>
      </c>
      <c r="B191" s="3" t="n">
        <f aca="false">YEAR(A191)</f>
        <v>2017</v>
      </c>
      <c r="C191" s="3" t="n">
        <f aca="false">MONTH(A191)</f>
        <v>10</v>
      </c>
      <c r="D191" s="1" t="n">
        <v>105.199767418</v>
      </c>
      <c r="E191" s="1" t="n">
        <v>246.467961567</v>
      </c>
      <c r="F191" s="1" t="n">
        <v>3310.986012106</v>
      </c>
      <c r="G191" s="1" t="n">
        <v>3077.033943373</v>
      </c>
      <c r="H191" s="1" t="n">
        <v>-251.983834251</v>
      </c>
      <c r="I191" s="1" t="n">
        <v>1624.11290542</v>
      </c>
      <c r="J191" s="1" t="n">
        <v>1641.564939585</v>
      </c>
      <c r="K191" s="1" t="n">
        <v>11.46833141</v>
      </c>
      <c r="L191" s="1" t="n">
        <v>51.365439464</v>
      </c>
      <c r="M191" s="1" t="n">
        <v>91.246227497</v>
      </c>
      <c r="O191" s="5" t="n">
        <v>43009</v>
      </c>
    </row>
    <row r="192" customFormat="false" ht="15" hidden="false" customHeight="false" outlineLevel="0" collapsed="false">
      <c r="A192" s="5" t="n">
        <v>43040</v>
      </c>
      <c r="B192" s="3" t="n">
        <f aca="false">YEAR(A192)</f>
        <v>2017</v>
      </c>
      <c r="C192" s="3" t="n">
        <f aca="false">MONTH(A192)</f>
        <v>11</v>
      </c>
      <c r="D192" s="1" t="n">
        <v>105.081224797</v>
      </c>
      <c r="E192" s="1" t="n">
        <v>247.283118396</v>
      </c>
      <c r="F192" s="1" t="n">
        <v>3672.152633989</v>
      </c>
      <c r="G192" s="1" t="n">
        <v>3173.435044846</v>
      </c>
      <c r="H192" s="1" t="n">
        <v>-487.806146425</v>
      </c>
      <c r="I192" s="1" t="n">
        <v>1713.893077127</v>
      </c>
      <c r="J192" s="1" t="n">
        <v>1698.036852734</v>
      </c>
      <c r="K192" s="1" t="n">
        <v>-9.904771285</v>
      </c>
      <c r="L192" s="1" t="n">
        <v>57.846288843</v>
      </c>
      <c r="M192" s="1" t="n">
        <v>91.143408192</v>
      </c>
      <c r="O192" s="5" t="n">
        <v>43040</v>
      </c>
    </row>
    <row r="193" customFormat="false" ht="15" hidden="false" customHeight="false" outlineLevel="0" collapsed="false">
      <c r="A193" s="5" t="n">
        <v>43070</v>
      </c>
      <c r="B193" s="3" t="n">
        <f aca="false">YEAR(A193)</f>
        <v>2017</v>
      </c>
      <c r="C193" s="3" t="n">
        <f aca="false">MONTH(A193)</f>
        <v>12</v>
      </c>
      <c r="D193" s="1" t="n">
        <v>105.201921184</v>
      </c>
      <c r="E193" s="1" t="n">
        <v>247.899343794</v>
      </c>
      <c r="F193" s="1" t="n">
        <v>3726.924585389</v>
      </c>
      <c r="G193" s="1" t="n">
        <v>4522.215825276</v>
      </c>
      <c r="H193" s="1" t="n">
        <v>-218.014452847</v>
      </c>
      <c r="I193" s="1" t="n">
        <v>1767.290936064</v>
      </c>
      <c r="J193" s="1" t="n">
        <v>1744.745318238</v>
      </c>
      <c r="K193" s="1" t="n">
        <v>8.560307392</v>
      </c>
      <c r="L193" s="1" t="n">
        <v>60.492758579</v>
      </c>
      <c r="M193" s="1" t="n">
        <v>91.248095591</v>
      </c>
      <c r="O193" s="5" t="n">
        <v>43070</v>
      </c>
    </row>
    <row r="194" customFormat="false" ht="15" hidden="false" customHeight="false" outlineLevel="0" collapsed="false">
      <c r="A194" s="5" t="n">
        <v>43101</v>
      </c>
      <c r="B194" s="3" t="n">
        <f aca="false">YEAR(A194)</f>
        <v>2018</v>
      </c>
      <c r="C194" s="3" t="n">
        <f aca="false">MONTH(A194)</f>
        <v>1</v>
      </c>
      <c r="D194" s="1" t="n">
        <v>105.231987538</v>
      </c>
      <c r="E194" s="1" t="n">
        <v>248.708718783</v>
      </c>
      <c r="F194" s="1" t="n">
        <v>3389.490744036</v>
      </c>
      <c r="G194" s="1" t="n">
        <v>3101.208559761</v>
      </c>
      <c r="H194" s="1" t="n">
        <v>-237.521139984</v>
      </c>
      <c r="I194" s="1" t="n">
        <v>1871.074482961</v>
      </c>
      <c r="J194" s="1" t="n">
        <v>1758.061886047</v>
      </c>
      <c r="K194" s="1" t="n">
        <v>96.696259662</v>
      </c>
      <c r="L194" s="1" t="n">
        <v>65.221188374</v>
      </c>
      <c r="M194" s="1" t="n">
        <v>91.274173988</v>
      </c>
      <c r="O194" s="5" t="n">
        <v>43101</v>
      </c>
    </row>
    <row r="195" customFormat="false" ht="15" hidden="false" customHeight="false" outlineLevel="0" collapsed="false">
      <c r="A195" s="5" t="n">
        <v>43132</v>
      </c>
      <c r="B195" s="3" t="n">
        <f aca="false">YEAR(A195)</f>
        <v>2018</v>
      </c>
      <c r="C195" s="3" t="n">
        <f aca="false">MONTH(A195)</f>
        <v>2</v>
      </c>
      <c r="D195" s="1" t="n">
        <v>105.303674303</v>
      </c>
      <c r="E195" s="1" t="n">
        <v>249.501487624</v>
      </c>
      <c r="F195" s="1" t="n">
        <v>3462.056464101</v>
      </c>
      <c r="G195" s="1" t="n">
        <v>3091.753511232</v>
      </c>
      <c r="H195" s="1" t="n">
        <v>-409.880905034</v>
      </c>
      <c r="I195" s="1" t="n">
        <v>1647.750277052</v>
      </c>
      <c r="J195" s="1" t="n">
        <v>1735.488708911</v>
      </c>
      <c r="K195" s="1" t="n">
        <v>-81.400288955</v>
      </c>
      <c r="L195" s="1" t="n">
        <v>62.434497355</v>
      </c>
      <c r="M195" s="1" t="n">
        <v>91.336352329</v>
      </c>
      <c r="O195" s="5" t="n">
        <v>43132</v>
      </c>
    </row>
    <row r="196" customFormat="false" ht="15" hidden="false" customHeight="false" outlineLevel="0" collapsed="false">
      <c r="A196" s="5" t="n">
        <v>43160</v>
      </c>
      <c r="B196" s="3" t="n">
        <f aca="false">YEAR(A196)</f>
        <v>2018</v>
      </c>
      <c r="C196" s="3" t="n">
        <f aca="false">MONTH(A196)</f>
        <v>3</v>
      </c>
      <c r="D196" s="1" t="n">
        <v>105.355902786</v>
      </c>
      <c r="E196" s="1" t="n">
        <v>249.637639407</v>
      </c>
      <c r="F196" s="1" t="n">
        <v>3780.371017423</v>
      </c>
      <c r="G196" s="1" t="n">
        <v>3421.205239873</v>
      </c>
      <c r="H196" s="1" t="n">
        <v>-385.443837977</v>
      </c>
      <c r="I196" s="1" t="n">
        <v>1806.792181678</v>
      </c>
      <c r="J196" s="1" t="n">
        <v>1742.944212816</v>
      </c>
      <c r="K196" s="1" t="n">
        <v>77.822624578</v>
      </c>
      <c r="L196" s="1" t="n">
        <v>64.580724258</v>
      </c>
      <c r="M196" s="1" t="n">
        <v>91.381653303</v>
      </c>
      <c r="O196" s="5" t="n">
        <v>43160</v>
      </c>
    </row>
    <row r="197" customFormat="false" ht="15" hidden="false" customHeight="false" outlineLevel="0" collapsed="false">
      <c r="A197" s="5" t="n">
        <v>43191</v>
      </c>
      <c r="B197" s="3" t="n">
        <f aca="false">YEAR(A197)</f>
        <v>2018</v>
      </c>
      <c r="C197" s="3" t="n">
        <f aca="false">MONTH(A197)</f>
        <v>4</v>
      </c>
      <c r="D197" s="1" t="n">
        <v>104.956821882</v>
      </c>
      <c r="E197" s="1" t="n">
        <v>250.181626201</v>
      </c>
      <c r="F197" s="1" t="n">
        <v>3758.446764895</v>
      </c>
      <c r="G197" s="1" t="n">
        <v>3077.980932647</v>
      </c>
      <c r="H197" s="1" t="n">
        <v>-320.7305277</v>
      </c>
      <c r="I197" s="1" t="n">
        <v>1788.051600475</v>
      </c>
      <c r="J197" s="1" t="n">
        <v>1885.103854304</v>
      </c>
      <c r="K197" s="1" t="n">
        <v>-73.706835394</v>
      </c>
      <c r="L197" s="1" t="n">
        <v>64.906845076</v>
      </c>
      <c r="M197" s="1" t="n">
        <v>91.035505893</v>
      </c>
      <c r="O197" s="5" t="n">
        <v>43191</v>
      </c>
    </row>
    <row r="198" customFormat="false" ht="15" hidden="false" customHeight="false" outlineLevel="0" collapsed="false">
      <c r="A198" s="5" t="n">
        <v>43221</v>
      </c>
      <c r="B198" s="3" t="n">
        <f aca="false">YEAR(A198)</f>
        <v>2018</v>
      </c>
      <c r="C198" s="3" t="n">
        <f aca="false">MONTH(A198)</f>
        <v>5</v>
      </c>
      <c r="D198" s="1" t="n">
        <v>104.886712627</v>
      </c>
      <c r="E198" s="1" t="n">
        <v>250.878190054</v>
      </c>
      <c r="F198" s="1" t="n">
        <v>3665.003687953</v>
      </c>
      <c r="G198" s="1" t="n">
        <v>3385.452405005</v>
      </c>
      <c r="H198" s="1" t="n">
        <v>-224.626342576</v>
      </c>
      <c r="I198" s="1" t="n">
        <v>1828.472164483</v>
      </c>
      <c r="J198" s="1" t="n">
        <v>1886.62155374</v>
      </c>
      <c r="K198" s="1" t="n">
        <v>-48.202933228</v>
      </c>
      <c r="L198" s="1" t="n">
        <v>68.452159043</v>
      </c>
      <c r="M198" s="1" t="n">
        <v>90.974695825</v>
      </c>
      <c r="O198" s="5" t="n">
        <v>43221</v>
      </c>
    </row>
    <row r="199" customFormat="false" ht="15" hidden="false" customHeight="false" outlineLevel="0" collapsed="false">
      <c r="A199" s="5" t="n">
        <v>43252</v>
      </c>
      <c r="B199" s="3" t="n">
        <f aca="false">YEAR(A199)</f>
        <v>2018</v>
      </c>
      <c r="C199" s="3" t="n">
        <f aca="false">MONTH(A199)</f>
        <v>6</v>
      </c>
      <c r="D199" s="1" t="n">
        <v>104.813525379</v>
      </c>
      <c r="E199" s="1" t="n">
        <v>251.1837421</v>
      </c>
      <c r="F199" s="1" t="n">
        <v>3749.004358126</v>
      </c>
      <c r="G199" s="1" t="n">
        <v>3356.984145661</v>
      </c>
      <c r="H199" s="1" t="n">
        <v>-327.465021966</v>
      </c>
      <c r="I199" s="1" t="n">
        <v>1770.129984514</v>
      </c>
      <c r="J199" s="1" t="n">
        <v>1786.871676981</v>
      </c>
      <c r="K199" s="1" t="n">
        <v>-1.05806537</v>
      </c>
      <c r="L199" s="1" t="n">
        <v>66.609262519</v>
      </c>
      <c r="M199" s="1" t="n">
        <v>90.911216024</v>
      </c>
      <c r="O199" s="5" t="n">
        <v>43252</v>
      </c>
    </row>
    <row r="200" customFormat="false" ht="15" hidden="false" customHeight="false" outlineLevel="0" collapsed="false">
      <c r="A200" s="5" t="n">
        <v>43282</v>
      </c>
      <c r="B200" s="3" t="n">
        <f aca="false">YEAR(A200)</f>
        <v>2018</v>
      </c>
      <c r="C200" s="3" t="n">
        <f aca="false">MONTH(A200)</f>
        <v>7</v>
      </c>
      <c r="D200" s="1" t="n">
        <v>104.819934782</v>
      </c>
      <c r="E200" s="1" t="n">
        <v>251.438138819</v>
      </c>
      <c r="F200" s="1" t="n">
        <v>3725.518881856</v>
      </c>
      <c r="G200" s="1" t="n">
        <v>3435.039207918</v>
      </c>
      <c r="H200" s="1" t="n">
        <v>-279.266899133</v>
      </c>
      <c r="I200" s="1" t="n">
        <v>1862.552594812</v>
      </c>
      <c r="J200" s="1" t="n">
        <v>1912.217213373</v>
      </c>
      <c r="K200" s="1" t="n">
        <v>-57.951748852</v>
      </c>
      <c r="L200" s="1" t="n">
        <v>68.886768478</v>
      </c>
      <c r="M200" s="1" t="n">
        <v>90.916775294</v>
      </c>
      <c r="O200" s="5" t="n">
        <v>43282</v>
      </c>
    </row>
    <row r="201" customFormat="false" ht="15" hidden="false" customHeight="false" outlineLevel="0" collapsed="false">
      <c r="A201" s="5" t="n">
        <v>43313</v>
      </c>
      <c r="B201" s="3" t="n">
        <f aca="false">YEAR(A201)</f>
        <v>2018</v>
      </c>
      <c r="C201" s="3" t="n">
        <f aca="false">MONTH(A201)</f>
        <v>8</v>
      </c>
      <c r="D201" s="1" t="n">
        <v>105.144801502</v>
      </c>
      <c r="E201" s="1" t="n">
        <v>251.756123109</v>
      </c>
      <c r="F201" s="1" t="n">
        <v>3614.384281911</v>
      </c>
      <c r="G201" s="1" t="n">
        <v>3086.399221123</v>
      </c>
      <c r="H201" s="1" t="n">
        <v>-238.135639651</v>
      </c>
      <c r="I201" s="1" t="n">
        <v>1838.249587701</v>
      </c>
      <c r="J201" s="1" t="n">
        <v>1842.606621598</v>
      </c>
      <c r="K201" s="1" t="n">
        <v>-10.846069118</v>
      </c>
      <c r="L201" s="1" t="n">
        <v>67.97549554</v>
      </c>
      <c r="M201" s="1" t="n">
        <v>91.198552177</v>
      </c>
      <c r="O201" s="5" t="n">
        <v>43313</v>
      </c>
    </row>
    <row r="202" customFormat="false" ht="15" hidden="false" customHeight="false" outlineLevel="0" collapsed="false">
      <c r="A202" s="5" t="n">
        <v>43344</v>
      </c>
      <c r="B202" s="3" t="n">
        <f aca="false">YEAR(A202)</f>
        <v>2018</v>
      </c>
      <c r="C202" s="3" t="n">
        <f aca="false">MONTH(A202)</f>
        <v>9</v>
      </c>
      <c r="D202" s="1" t="n">
        <v>105.495793973</v>
      </c>
      <c r="E202" s="1" t="n">
        <v>252.097825535</v>
      </c>
      <c r="F202" s="1" t="n">
        <v>3934.478310418</v>
      </c>
      <c r="G202" s="1" t="n">
        <v>3646.353871573</v>
      </c>
      <c r="H202" s="1" t="n">
        <v>-349.639207853</v>
      </c>
      <c r="I202" s="1" t="n">
        <v>1879.977175979</v>
      </c>
      <c r="J202" s="1" t="n">
        <v>1893.040727433</v>
      </c>
      <c r="K202" s="1" t="n">
        <v>-33.283948299</v>
      </c>
      <c r="L202" s="1" t="n">
        <v>69.46820495</v>
      </c>
      <c r="M202" s="1" t="n">
        <v>91.502989532</v>
      </c>
      <c r="O202" s="5" t="n">
        <v>43344</v>
      </c>
    </row>
    <row r="203" customFormat="false" ht="15" hidden="false" customHeight="false" outlineLevel="0" collapsed="false">
      <c r="A203" s="5" t="n">
        <v>43374</v>
      </c>
      <c r="B203" s="3" t="n">
        <f aca="false">YEAR(A203)</f>
        <v>2018</v>
      </c>
      <c r="C203" s="3" t="n">
        <f aca="false">MONTH(A203)</f>
        <v>10</v>
      </c>
      <c r="D203" s="1" t="n">
        <v>105.54492655</v>
      </c>
      <c r="E203" s="1" t="n">
        <v>252.698700075</v>
      </c>
      <c r="F203" s="1" t="n">
        <v>3718.88344875</v>
      </c>
      <c r="G203" s="1" t="n">
        <v>3370.572342324</v>
      </c>
      <c r="H203" s="1" t="n">
        <v>-163.292515209</v>
      </c>
      <c r="I203" s="1" t="n">
        <v>1915.134802768</v>
      </c>
      <c r="J203" s="1" t="n">
        <v>2082.000784052</v>
      </c>
      <c r="K203" s="1" t="n">
        <v>-132.412040723</v>
      </c>
      <c r="L203" s="1" t="n">
        <v>71.117317601</v>
      </c>
      <c r="M203" s="1" t="n">
        <v>91.545605238</v>
      </c>
      <c r="O203" s="5" t="n">
        <v>43374</v>
      </c>
    </row>
    <row r="204" customFormat="false" ht="15" hidden="false" customHeight="false" outlineLevel="0" collapsed="false">
      <c r="A204" s="5" t="n">
        <v>43405</v>
      </c>
      <c r="B204" s="3" t="n">
        <f aca="false">YEAR(A204)</f>
        <v>2018</v>
      </c>
      <c r="C204" s="3" t="n">
        <f aca="false">MONTH(A204)</f>
        <v>11</v>
      </c>
      <c r="D204" s="1" t="n">
        <v>105.421463837</v>
      </c>
      <c r="E204" s="1" t="n">
        <v>252.622315006</v>
      </c>
      <c r="F204" s="1" t="n">
        <v>3507.324796448</v>
      </c>
      <c r="G204" s="1" t="n">
        <v>3604.314456179</v>
      </c>
      <c r="H204" s="1" t="n">
        <v>-49.661471865</v>
      </c>
      <c r="I204" s="1" t="n">
        <v>1708.62978676</v>
      </c>
      <c r="J204" s="1" t="n">
        <v>1811.054813801</v>
      </c>
      <c r="K204" s="1" t="n">
        <v>-155.088618016</v>
      </c>
      <c r="L204" s="1" t="n">
        <v>57.901850399</v>
      </c>
      <c r="M204" s="1" t="n">
        <v>91.438518434</v>
      </c>
      <c r="O204" s="5" t="n">
        <v>43405</v>
      </c>
    </row>
    <row r="205" customFormat="false" ht="15" hidden="false" customHeight="false" outlineLevel="0" collapsed="false">
      <c r="A205" s="5" t="n">
        <v>43435</v>
      </c>
      <c r="B205" s="3" t="n">
        <f aca="false">YEAR(A205)</f>
        <v>2018</v>
      </c>
      <c r="C205" s="3" t="n">
        <f aca="false">MONTH(A205)</f>
        <v>12</v>
      </c>
      <c r="D205" s="1" t="n">
        <v>105.466971868</v>
      </c>
      <c r="E205" s="1" t="n">
        <v>252.581324995</v>
      </c>
      <c r="F205" s="1" t="n">
        <v>3694.172414315</v>
      </c>
      <c r="G205" s="1" t="n">
        <v>3985.703583987</v>
      </c>
      <c r="H205" s="1" t="n">
        <v>-412.781643631</v>
      </c>
      <c r="I205" s="1" t="n">
        <v>1710.7970636</v>
      </c>
      <c r="J205" s="1" t="n">
        <v>1781.630020107</v>
      </c>
      <c r="K205" s="1" t="n">
        <v>-73.399622009</v>
      </c>
      <c r="L205" s="1" t="n">
        <v>51.313126543</v>
      </c>
      <c r="M205" s="1" t="n">
        <v>91.477990348</v>
      </c>
      <c r="O205" s="5" t="n">
        <v>43435</v>
      </c>
    </row>
    <row r="206" customFormat="false" ht="15" hidden="false" customHeight="false" outlineLevel="0" collapsed="false">
      <c r="A206" s="5" t="n">
        <v>43466</v>
      </c>
      <c r="B206" s="3" t="n">
        <f aca="false">YEAR(A206)</f>
        <v>2019</v>
      </c>
      <c r="C206" s="3" t="n">
        <f aca="false">MONTH(A206)</f>
        <v>1</v>
      </c>
      <c r="D206" s="1" t="n">
        <v>105.777559404</v>
      </c>
      <c r="E206" s="1" t="n">
        <v>252.556128998</v>
      </c>
      <c r="F206" s="1" t="n">
        <v>3903.841429639</v>
      </c>
      <c r="G206" s="1" t="n">
        <v>3312.821329673</v>
      </c>
      <c r="H206" s="1" t="n">
        <v>-572.141935471</v>
      </c>
      <c r="I206" s="1" t="n">
        <v>1667.008801411</v>
      </c>
      <c r="J206" s="1" t="n">
        <v>1778.838543141</v>
      </c>
      <c r="K206" s="1" t="n">
        <v>-158.021252744</v>
      </c>
      <c r="L206" s="1" t="n">
        <v>52.471273782</v>
      </c>
      <c r="M206" s="1" t="n">
        <v>91.747382017</v>
      </c>
      <c r="O206" s="5" t="n">
        <v>43466</v>
      </c>
    </row>
    <row r="207" customFormat="false" ht="15" hidden="false" customHeight="false" outlineLevel="0" collapsed="false">
      <c r="A207" s="5" t="n">
        <v>43497</v>
      </c>
      <c r="B207" s="3" t="n">
        <f aca="false">YEAR(A207)</f>
        <v>2019</v>
      </c>
      <c r="C207" s="3" t="n">
        <f aca="false">MONTH(A207)</f>
        <v>2</v>
      </c>
      <c r="D207" s="1" t="n">
        <v>105.490351317</v>
      </c>
      <c r="E207" s="1" t="n">
        <v>253.292554829</v>
      </c>
      <c r="F207" s="1" t="n">
        <v>3590.52222532</v>
      </c>
      <c r="G207" s="1" t="n">
        <v>3409.806743632</v>
      </c>
      <c r="H207" s="1" t="n">
        <v>-274.381569199</v>
      </c>
      <c r="I207" s="1" t="n">
        <v>1779.9368034</v>
      </c>
      <c r="J207" s="1" t="n">
        <v>1850.373156317</v>
      </c>
      <c r="K207" s="1" t="n">
        <v>-58.725530307</v>
      </c>
      <c r="L207" s="1" t="n">
        <v>54.151609023</v>
      </c>
      <c r="M207" s="1" t="n">
        <v>91.498268782</v>
      </c>
      <c r="O207" s="5" t="n">
        <v>43497</v>
      </c>
    </row>
    <row r="208" customFormat="false" ht="15" hidden="false" customHeight="false" outlineLevel="0" collapsed="false">
      <c r="A208" s="5" t="n">
        <v>43525</v>
      </c>
      <c r="B208" s="3" t="n">
        <f aca="false">YEAR(A208)</f>
        <v>2019</v>
      </c>
      <c r="C208" s="3" t="n">
        <f aca="false">MONTH(A208)</f>
        <v>3</v>
      </c>
      <c r="D208" s="1" t="n">
        <v>105.271676929</v>
      </c>
      <c r="E208" s="1" t="n">
        <v>254.234738145</v>
      </c>
      <c r="F208" s="1" t="n">
        <v>3446.95359511</v>
      </c>
      <c r="G208" s="1" t="n">
        <v>3247.044353493</v>
      </c>
      <c r="H208" s="1" t="n">
        <v>-302.330331134</v>
      </c>
      <c r="I208" s="1" t="n">
        <v>1895.791398433</v>
      </c>
      <c r="J208" s="1" t="n">
        <v>1893.384825765</v>
      </c>
      <c r="K208" s="1" t="n">
        <v>65.861017903</v>
      </c>
      <c r="L208" s="1" t="n">
        <v>59.501764186</v>
      </c>
      <c r="M208" s="1" t="n">
        <v>91.308599038</v>
      </c>
      <c r="O208" s="5" t="n">
        <v>43525</v>
      </c>
    </row>
    <row r="209" customFormat="false" ht="15" hidden="false" customHeight="false" outlineLevel="0" collapsed="false">
      <c r="A209" s="5" t="n">
        <v>43556</v>
      </c>
      <c r="B209" s="3" t="n">
        <f aca="false">YEAR(A209)</f>
        <v>2019</v>
      </c>
      <c r="C209" s="3" t="n">
        <f aca="false">MONTH(A209)</f>
        <v>4</v>
      </c>
      <c r="D209" s="1" t="n">
        <v>105.20532693</v>
      </c>
      <c r="E209" s="1" t="n">
        <v>255.253129521</v>
      </c>
      <c r="F209" s="1" t="n">
        <v>3851.374265341</v>
      </c>
      <c r="G209" s="1" t="n">
        <v>3359.167264436</v>
      </c>
      <c r="H209" s="1" t="n">
        <v>-155.754640922</v>
      </c>
      <c r="I209" s="1" t="n">
        <v>1957.640400575</v>
      </c>
      <c r="J209" s="1" t="n">
        <v>1906.990090852</v>
      </c>
      <c r="K209" s="1" t="n">
        <v>56.689272676</v>
      </c>
      <c r="L209" s="1" t="n">
        <v>62.929505625</v>
      </c>
      <c r="M209" s="1" t="n">
        <v>91.251049603</v>
      </c>
      <c r="O209" s="5" t="n">
        <v>43556</v>
      </c>
    </row>
    <row r="210" customFormat="false" ht="15" hidden="false" customHeight="false" outlineLevel="0" collapsed="false">
      <c r="A210" s="5" t="n">
        <v>43586</v>
      </c>
      <c r="B210" s="3" t="n">
        <f aca="false">YEAR(A210)</f>
        <v>2019</v>
      </c>
      <c r="C210" s="3" t="n">
        <f aca="false">MONTH(A210)</f>
        <v>5</v>
      </c>
      <c r="D210" s="1" t="n">
        <v>105.280641496</v>
      </c>
      <c r="E210" s="1" t="n">
        <v>255.412485083</v>
      </c>
      <c r="F210" s="1" t="n">
        <v>3968.294046927</v>
      </c>
      <c r="G210" s="1" t="n">
        <v>3488.334814344</v>
      </c>
      <c r="H210" s="1" t="n">
        <v>-275.667339107</v>
      </c>
      <c r="I210" s="1" t="n">
        <v>1880.578675519</v>
      </c>
      <c r="J210" s="1" t="n">
        <v>1903.175577289</v>
      </c>
      <c r="K210" s="1" t="n">
        <v>-3.465887418</v>
      </c>
      <c r="L210" s="1" t="n">
        <v>59.961085737</v>
      </c>
      <c r="M210" s="1" t="n">
        <v>91.316374558</v>
      </c>
      <c r="O210" s="5" t="n">
        <v>43586</v>
      </c>
    </row>
    <row r="211" customFormat="false" ht="15" hidden="false" customHeight="false" outlineLevel="0" collapsed="false">
      <c r="A211" s="5" t="n">
        <v>43617</v>
      </c>
      <c r="B211" s="3" t="n">
        <f aca="false">YEAR(A211)</f>
        <v>2019</v>
      </c>
      <c r="C211" s="3" t="n">
        <f aca="false">MONTH(A211)</f>
        <v>6</v>
      </c>
      <c r="D211" s="1" t="n">
        <v>105.447989197</v>
      </c>
      <c r="E211" s="1" t="n">
        <v>255.33005901</v>
      </c>
      <c r="F211" s="1" t="n">
        <v>3492.011605452</v>
      </c>
      <c r="G211" s="1" t="n">
        <v>3157.612141907</v>
      </c>
      <c r="H211" s="1" t="n">
        <v>-349.797977285</v>
      </c>
      <c r="I211" s="1" t="n">
        <v>1784.949121646</v>
      </c>
      <c r="J211" s="1" t="n">
        <v>1821.078873192</v>
      </c>
      <c r="K211" s="1" t="n">
        <v>-28.647783223</v>
      </c>
      <c r="L211" s="1" t="n">
        <v>53.404669982</v>
      </c>
      <c r="M211" s="1" t="n">
        <v>91.46152551</v>
      </c>
      <c r="O211" s="5" t="n">
        <v>43617</v>
      </c>
    </row>
    <row r="212" customFormat="false" ht="15" hidden="false" customHeight="false" outlineLevel="0" collapsed="false">
      <c r="A212" s="5" t="n">
        <v>43647</v>
      </c>
      <c r="B212" s="3" t="n">
        <f aca="false">YEAR(A212)</f>
        <v>2019</v>
      </c>
      <c r="C212" s="3" t="n">
        <f aca="false">MONTH(A212)</f>
        <v>7</v>
      </c>
      <c r="D212" s="1" t="n">
        <v>105.538824977</v>
      </c>
      <c r="E212" s="1" t="n">
        <v>255.871347886</v>
      </c>
      <c r="F212" s="1" t="n">
        <v>3869.188384041</v>
      </c>
      <c r="G212" s="1" t="n">
        <v>3020.398433983</v>
      </c>
      <c r="H212" s="1" t="n">
        <v>-587.399989369</v>
      </c>
      <c r="I212" s="1" t="n">
        <v>1942.508536202</v>
      </c>
      <c r="J212" s="1" t="n">
        <v>1803.504863005</v>
      </c>
      <c r="K212" s="1" t="n">
        <v>155.759605758</v>
      </c>
      <c r="L212" s="1" t="n">
        <v>55.288744334</v>
      </c>
      <c r="M212" s="1" t="n">
        <v>91.540312969</v>
      </c>
      <c r="O212" s="5" t="n">
        <v>43647</v>
      </c>
    </row>
    <row r="213" customFormat="false" ht="15" hidden="false" customHeight="false" outlineLevel="0" collapsed="false">
      <c r="A213" s="5" t="n">
        <v>43678</v>
      </c>
      <c r="B213" s="3" t="n">
        <f aca="false">YEAR(A213)</f>
        <v>2019</v>
      </c>
      <c r="C213" s="3" t="n">
        <f aca="false">MONTH(A213)</f>
        <v>8</v>
      </c>
      <c r="D213" s="1" t="n">
        <v>105.47360856</v>
      </c>
      <c r="E213" s="1" t="n">
        <v>256.135096333</v>
      </c>
      <c r="F213" s="1" t="n">
        <v>3461.744549785</v>
      </c>
      <c r="G213" s="1" t="n">
        <v>3458.478779463</v>
      </c>
      <c r="H213" s="1" t="n">
        <v>76.245126938</v>
      </c>
      <c r="I213" s="1" t="n">
        <v>1948.377273987</v>
      </c>
      <c r="J213" s="1" t="n">
        <v>1744.816758249</v>
      </c>
      <c r="K213" s="1" t="n">
        <v>178.634468886</v>
      </c>
      <c r="L213" s="1" t="n">
        <v>54.801012696</v>
      </c>
      <c r="M213" s="1" t="n">
        <v>91.483746759</v>
      </c>
      <c r="O213" s="5" t="n">
        <v>43678</v>
      </c>
    </row>
    <row r="214" customFormat="false" ht="15" hidden="false" customHeight="false" outlineLevel="0" collapsed="false">
      <c r="A214" s="5" t="n">
        <v>43709</v>
      </c>
      <c r="B214" s="3" t="n">
        <f aca="false">YEAR(A214)</f>
        <v>2019</v>
      </c>
      <c r="C214" s="3" t="n">
        <f aca="false">MONTH(A214)</f>
        <v>9</v>
      </c>
      <c r="D214" s="1" t="n">
        <v>105.415043687</v>
      </c>
      <c r="E214" s="1" t="n">
        <v>256.454305234</v>
      </c>
      <c r="F214" s="1" t="n">
        <v>3583.333729125</v>
      </c>
      <c r="G214" s="1" t="n">
        <v>3073.329243869</v>
      </c>
      <c r="H214" s="1" t="n">
        <v>-323.964957094</v>
      </c>
      <c r="I214" s="1" t="n">
        <v>1814.762369877</v>
      </c>
      <c r="J214" s="1" t="n">
        <v>1738.384854047</v>
      </c>
      <c r="K214" s="1" t="n">
        <v>53.511955939</v>
      </c>
      <c r="L214" s="1" t="n">
        <v>56.820713485</v>
      </c>
      <c r="M214" s="1" t="n">
        <v>91.432949844</v>
      </c>
      <c r="O214" s="5" t="n">
        <v>43709</v>
      </c>
    </row>
    <row r="215" customFormat="false" ht="15" hidden="false" customHeight="false" outlineLevel="0" collapsed="false">
      <c r="A215" s="5" t="n">
        <v>43739</v>
      </c>
      <c r="B215" s="3" t="n">
        <f aca="false">YEAR(A215)</f>
        <v>2019</v>
      </c>
      <c r="C215" s="3" t="n">
        <f aca="false">MONTH(A215)</f>
        <v>10</v>
      </c>
      <c r="D215" s="1" t="n">
        <v>106.051113058</v>
      </c>
      <c r="E215" s="1" t="n">
        <v>257.145091127</v>
      </c>
      <c r="F215" s="1" t="n">
        <v>3541.34843362</v>
      </c>
      <c r="G215" s="1" t="n">
        <v>3417.23795583</v>
      </c>
      <c r="H215" s="1" t="n">
        <v>-165.645643374</v>
      </c>
      <c r="I215" s="1" t="n">
        <v>1700.014044136</v>
      </c>
      <c r="J215" s="1" t="n">
        <v>1758.593216946</v>
      </c>
      <c r="K215" s="1" t="n">
        <v>-25.1903604</v>
      </c>
      <c r="L215" s="1" t="n">
        <v>54.465238095</v>
      </c>
      <c r="M215" s="1" t="n">
        <v>91.984651924</v>
      </c>
      <c r="O215" s="5" t="n">
        <v>43739</v>
      </c>
    </row>
    <row r="216" customFormat="false" ht="15" hidden="false" customHeight="false" outlineLevel="0" collapsed="false">
      <c r="A216" s="5" t="n">
        <v>43770</v>
      </c>
      <c r="B216" s="3" t="n">
        <f aca="false">YEAR(A216)</f>
        <v>2019</v>
      </c>
      <c r="C216" s="3" t="n">
        <f aca="false">MONTH(A216)</f>
        <v>11</v>
      </c>
      <c r="D216" s="1" t="n">
        <v>105.422175153</v>
      </c>
      <c r="E216" s="1" t="n">
        <v>257.816146288</v>
      </c>
      <c r="F216" s="1" t="n">
        <v>3474.094144508</v>
      </c>
      <c r="G216" s="1" t="n">
        <v>3538.753072541</v>
      </c>
      <c r="H216" s="1" t="n">
        <v>-146.27968888</v>
      </c>
      <c r="I216" s="1" t="n">
        <v>1917.590635413</v>
      </c>
      <c r="J216" s="1" t="n">
        <v>1669.819666485</v>
      </c>
      <c r="K216" s="1" t="n">
        <v>221.047267518</v>
      </c>
      <c r="L216" s="1" t="n">
        <v>58.412939866</v>
      </c>
      <c r="M216" s="1" t="n">
        <v>91.439135402</v>
      </c>
      <c r="O216" s="5" t="n">
        <v>43770</v>
      </c>
    </row>
    <row r="217" customFormat="false" ht="15" hidden="false" customHeight="false" outlineLevel="0" collapsed="false">
      <c r="A217" s="14" t="n">
        <v>43800</v>
      </c>
      <c r="B217" s="3" t="n">
        <f aca="false">YEAR(A217)</f>
        <v>2019</v>
      </c>
      <c r="C217" s="3" t="n">
        <f aca="false">MONTH(A217)</f>
        <v>12</v>
      </c>
      <c r="D217" s="1" t="n">
        <v>105.388466063</v>
      </c>
      <c r="E217" s="1" t="n">
        <v>258.368789871</v>
      </c>
      <c r="F217" s="1" t="n">
        <v>3170.849310781</v>
      </c>
      <c r="G217" s="1" t="n">
        <v>3109.064272041</v>
      </c>
      <c r="H217" s="1" t="n">
        <v>-396.590539846</v>
      </c>
      <c r="I217" s="1" t="n">
        <v>2036.034787008</v>
      </c>
      <c r="J217" s="1" t="n">
        <v>1630.256586427</v>
      </c>
      <c r="K217" s="1" t="n">
        <v>384.213494091</v>
      </c>
      <c r="L217" s="1" t="n">
        <v>62.892764266</v>
      </c>
      <c r="M217" s="1" t="n">
        <v>91.409897436</v>
      </c>
      <c r="O217" s="14" t="n">
        <v>43800</v>
      </c>
    </row>
    <row r="218" customFormat="false" ht="15" hidden="false" customHeight="false" outlineLevel="0" collapsed="false">
      <c r="A218" s="5" t="n">
        <v>43831</v>
      </c>
      <c r="B218" s="3" t="n">
        <f aca="false">YEAR(A218)</f>
        <v>2020</v>
      </c>
      <c r="C218" s="3" t="n">
        <f aca="false">MONTH(A218)</f>
        <v>1</v>
      </c>
      <c r="D218" s="1" t="n">
        <v>105.452614542</v>
      </c>
      <c r="E218" s="1" t="n">
        <v>258.927433128</v>
      </c>
      <c r="F218" s="1" t="n">
        <v>3931.730396425</v>
      </c>
      <c r="G218" s="1" t="n">
        <v>3522.217923286</v>
      </c>
      <c r="H218" s="1" t="n">
        <v>-207.77215725</v>
      </c>
      <c r="I218" s="1" t="n">
        <v>2051.398080692</v>
      </c>
      <c r="J218" s="1" t="n">
        <v>1701.911136044</v>
      </c>
      <c r="K218" s="1" t="n">
        <v>298.364040712</v>
      </c>
      <c r="L218" s="1" t="n">
        <v>58.523629915</v>
      </c>
      <c r="M218" s="1" t="n">
        <v>91.465537356</v>
      </c>
      <c r="O218" s="5" t="n">
        <v>43831</v>
      </c>
    </row>
    <row r="219" customFormat="false" ht="15" hidden="false" customHeight="false" outlineLevel="0" collapsed="false">
      <c r="A219" s="5" t="n">
        <v>43862</v>
      </c>
      <c r="B219" s="3" t="n">
        <f aca="false">YEAR(A219)</f>
        <v>2020</v>
      </c>
      <c r="C219" s="3" t="n">
        <f aca="false">MONTH(A219)</f>
        <v>2</v>
      </c>
      <c r="D219" s="1" t="n">
        <v>105.286145378</v>
      </c>
      <c r="E219" s="1" t="n">
        <v>259.261835224</v>
      </c>
      <c r="F219" s="1" t="n">
        <v>3522.802705449</v>
      </c>
      <c r="G219" s="1" t="n">
        <v>3499.568618554</v>
      </c>
      <c r="H219" s="1" t="n">
        <v>-147.538140088</v>
      </c>
      <c r="I219" s="1" t="n">
        <v>1936.409044033</v>
      </c>
      <c r="J219" s="1" t="n">
        <v>1647.047238592</v>
      </c>
      <c r="K219" s="1" t="n">
        <v>191.330578804</v>
      </c>
      <c r="L219" s="1" t="n">
        <v>49.34222702</v>
      </c>
      <c r="M219" s="1" t="n">
        <v>91.321148414</v>
      </c>
      <c r="O219" s="5" t="n">
        <v>43862</v>
      </c>
    </row>
    <row r="220" customFormat="false" ht="15" hidden="false" customHeight="false" outlineLevel="0" collapsed="false">
      <c r="A220" s="5" t="n">
        <v>43891</v>
      </c>
      <c r="B220" s="3" t="n">
        <f aca="false">YEAR(A220)</f>
        <v>2020</v>
      </c>
      <c r="C220" s="3" t="n">
        <f aca="false">MONTH(A220)</f>
        <v>3</v>
      </c>
      <c r="D220" s="1" t="n">
        <v>105.516281463</v>
      </c>
      <c r="E220" s="1" t="n">
        <v>258.116451011</v>
      </c>
      <c r="F220" s="1" t="n">
        <v>3322.470861114</v>
      </c>
      <c r="G220" s="1" t="n">
        <v>3425.249267226</v>
      </c>
      <c r="H220" s="1" t="n">
        <v>88.818041066</v>
      </c>
      <c r="I220" s="1" t="n">
        <v>1587.157178804</v>
      </c>
      <c r="J220" s="1" t="n">
        <v>1498.973595724</v>
      </c>
      <c r="K220" s="1" t="n">
        <v>129.416790344</v>
      </c>
      <c r="L220" s="1" t="n">
        <v>30.63697714</v>
      </c>
      <c r="M220" s="1" t="n">
        <v>91.520759592</v>
      </c>
      <c r="O220" s="5" t="n">
        <v>43891</v>
      </c>
    </row>
    <row r="221" customFormat="false" ht="15" hidden="false" customHeight="false" outlineLevel="0" collapsed="false">
      <c r="A221" s="5" t="n">
        <v>43922</v>
      </c>
      <c r="B221" s="3" t="n">
        <f aca="false">YEAR(A221)</f>
        <v>2020</v>
      </c>
      <c r="C221" s="3" t="n">
        <f aca="false">MONTH(A221)</f>
        <v>4</v>
      </c>
      <c r="D221" s="1" t="n">
        <v>106.342081379</v>
      </c>
      <c r="E221" s="1" t="n">
        <v>256.109979379</v>
      </c>
      <c r="F221" s="1" t="n">
        <v>3092.699670684</v>
      </c>
      <c r="G221" s="1" t="n">
        <v>2171.402329282</v>
      </c>
      <c r="H221" s="1" t="n">
        <v>-686.185350839</v>
      </c>
      <c r="I221" s="1" t="n">
        <v>1078.810318675</v>
      </c>
      <c r="J221" s="1" t="n">
        <v>1070.807176777</v>
      </c>
      <c r="K221" s="1" t="n">
        <v>23.01766733</v>
      </c>
      <c r="L221" s="1" t="n">
        <v>15.371611673</v>
      </c>
      <c r="M221" s="1" t="n">
        <v>92.23702664</v>
      </c>
      <c r="O221" s="5" t="n">
        <v>43922</v>
      </c>
    </row>
    <row r="222" customFormat="false" ht="15" hidden="false" customHeight="false" outlineLevel="0" collapsed="false">
      <c r="A222" s="5" t="n">
        <v>43952</v>
      </c>
      <c r="B222" s="3" t="n">
        <f aca="false">YEAR(A222)</f>
        <v>2020</v>
      </c>
      <c r="C222" s="3" t="n">
        <f aca="false">MONTH(A222)</f>
        <v>5</v>
      </c>
      <c r="D222" s="1" t="n">
        <v>106.093181934</v>
      </c>
      <c r="E222" s="1" t="n">
        <v>255.6829582</v>
      </c>
      <c r="F222" s="1" t="n">
        <v>2913.753893748</v>
      </c>
      <c r="G222" s="1" t="n">
        <v>1800.54476912</v>
      </c>
      <c r="H222" s="1" t="n">
        <v>-1364.205586731</v>
      </c>
      <c r="I222" s="1" t="n">
        <v>1382.442377708</v>
      </c>
      <c r="J222" s="1" t="n">
        <v>1202.709897736</v>
      </c>
      <c r="K222" s="1" t="n">
        <v>156.608177558</v>
      </c>
      <c r="L222" s="1" t="n">
        <v>27.78369654</v>
      </c>
      <c r="M222" s="1" t="n">
        <v>92.021140846</v>
      </c>
      <c r="O222" s="5" t="n">
        <v>43952</v>
      </c>
    </row>
    <row r="223" customFormat="false" ht="15" hidden="false" customHeight="false" outlineLevel="0" collapsed="false">
      <c r="A223" s="5" t="n">
        <v>43983</v>
      </c>
      <c r="B223" s="3" t="n">
        <f aca="false">YEAR(A223)</f>
        <v>2020</v>
      </c>
      <c r="C223" s="3" t="n">
        <f aca="false">MONTH(A223)</f>
        <v>6</v>
      </c>
      <c r="D223" s="1" t="n">
        <v>105.623605599</v>
      </c>
      <c r="E223" s="1" t="n">
        <v>256.87221586</v>
      </c>
      <c r="F223" s="1" t="n">
        <v>3133.847631948</v>
      </c>
      <c r="G223" s="1" t="n">
        <v>2060.103686009</v>
      </c>
      <c r="H223" s="1" t="n">
        <v>-975.931968615</v>
      </c>
      <c r="I223" s="1" t="n">
        <v>1626.616422257</v>
      </c>
      <c r="J223" s="1" t="n">
        <v>1249.412675504</v>
      </c>
      <c r="K223" s="1" t="n">
        <v>344.261393448</v>
      </c>
      <c r="L223" s="1" t="n">
        <v>36.5380934</v>
      </c>
      <c r="M223" s="1" t="n">
        <v>91.613848414</v>
      </c>
      <c r="O223" s="5" t="n">
        <v>43983</v>
      </c>
    </row>
    <row r="224" customFormat="false" ht="15" hidden="false" customHeight="false" outlineLevel="0" collapsed="false">
      <c r="A224" s="5" t="n">
        <v>44013</v>
      </c>
      <c r="B224" s="3" t="n">
        <f aca="false">YEAR(A224)</f>
        <v>2020</v>
      </c>
      <c r="C224" s="3" t="n">
        <f aca="false">MONTH(A224)</f>
        <v>7</v>
      </c>
      <c r="D224" s="1" t="n">
        <v>104.909438126</v>
      </c>
      <c r="E224" s="1" t="n">
        <v>258.260760975</v>
      </c>
      <c r="F224" s="1" t="n">
        <v>3165.82973413</v>
      </c>
      <c r="G224" s="1" t="n">
        <v>2131.983436511</v>
      </c>
      <c r="H224" s="1" t="n">
        <v>-883.608713339</v>
      </c>
      <c r="I224" s="1" t="n">
        <v>1583.465016298</v>
      </c>
      <c r="J224" s="1" t="n">
        <v>1275.427548366</v>
      </c>
      <c r="K224" s="1" t="n">
        <v>341.475667949</v>
      </c>
      <c r="L224" s="1" t="n">
        <v>38.326607673</v>
      </c>
      <c r="M224" s="1" t="n">
        <v>90.994407049</v>
      </c>
      <c r="O224" s="5" t="n">
        <v>44013</v>
      </c>
    </row>
    <row r="225" customFormat="false" ht="15" hidden="false" customHeight="false" outlineLevel="0" collapsed="false">
      <c r="A225" s="5" t="n">
        <v>44044</v>
      </c>
      <c r="B225" s="3" t="n">
        <f aca="false">YEAR(A225)</f>
        <v>2020</v>
      </c>
      <c r="C225" s="3" t="n">
        <f aca="false">MONTH(A225)</f>
        <v>8</v>
      </c>
      <c r="D225" s="1" t="n">
        <v>104.634166022</v>
      </c>
      <c r="E225" s="1" t="n">
        <v>259.42197104</v>
      </c>
      <c r="F225" s="1" t="n">
        <v>3318.310411728</v>
      </c>
      <c r="G225" s="1" t="n">
        <v>2313.694887784</v>
      </c>
      <c r="H225" s="1" t="n">
        <v>-835.61915285</v>
      </c>
      <c r="I225" s="1" t="n">
        <v>1794.941514103</v>
      </c>
      <c r="J225" s="1" t="n">
        <v>1352.812831535</v>
      </c>
      <c r="K225" s="1" t="n">
        <v>452.920775104</v>
      </c>
      <c r="L225" s="1" t="n">
        <v>42.506729202</v>
      </c>
      <c r="M225" s="1" t="n">
        <v>90.755646625</v>
      </c>
      <c r="O225" s="5" t="n">
        <v>44044</v>
      </c>
    </row>
    <row r="226" customFormat="false" ht="15" hidden="false" customHeight="false" outlineLevel="0" collapsed="false">
      <c r="A226" s="5" t="n">
        <v>44075</v>
      </c>
      <c r="B226" s="3" t="n">
        <f aca="false">YEAR(A226)</f>
        <v>2020</v>
      </c>
      <c r="C226" s="3" t="n">
        <f aca="false">MONTH(A226)</f>
        <v>9</v>
      </c>
      <c r="D226" s="1" t="n">
        <v>104.43790046</v>
      </c>
      <c r="E226" s="1" t="n">
        <v>259.997043266</v>
      </c>
      <c r="F226" s="1" t="n">
        <v>2813.614316057</v>
      </c>
      <c r="G226" s="1" t="n">
        <v>3086.58079772</v>
      </c>
      <c r="H226" s="1" t="n">
        <v>312.370769416</v>
      </c>
      <c r="I226" s="1" t="n">
        <v>1808.238573535</v>
      </c>
      <c r="J226" s="1" t="n">
        <v>1314.207566036</v>
      </c>
      <c r="K226" s="1" t="n">
        <v>485.435100319</v>
      </c>
      <c r="L226" s="1" t="n">
        <v>40.347786465</v>
      </c>
      <c r="M226" s="1" t="n">
        <v>90.585413434</v>
      </c>
      <c r="O226" s="5" t="n">
        <v>44075</v>
      </c>
    </row>
    <row r="227" customFormat="false" ht="15" hidden="false" customHeight="false" outlineLevel="0" collapsed="false">
      <c r="A227" s="5" t="n">
        <v>44105</v>
      </c>
      <c r="B227" s="3" t="n">
        <f aca="false">YEAR(A227)</f>
        <v>2020</v>
      </c>
      <c r="C227" s="3" t="n">
        <f aca="false">MONTH(A227)</f>
        <v>10</v>
      </c>
      <c r="D227" s="1" t="n">
        <v>104.321408246</v>
      </c>
      <c r="E227" s="1" t="n">
        <v>260.212662135</v>
      </c>
      <c r="F227" s="1" t="n">
        <v>3324.540270194</v>
      </c>
      <c r="G227" s="1" t="n">
        <v>2852.423648371</v>
      </c>
      <c r="H227" s="1" t="n">
        <v>-528.483731259</v>
      </c>
      <c r="I227" s="1" t="n">
        <v>1774.162740994</v>
      </c>
      <c r="J227" s="1" t="n">
        <v>1412.351779524</v>
      </c>
      <c r="K227" s="1" t="n">
        <v>396.077320023</v>
      </c>
      <c r="L227" s="1" t="n">
        <v>39.360248372</v>
      </c>
      <c r="M227" s="1" t="n">
        <v>90.484372574</v>
      </c>
      <c r="O227" s="5" t="n">
        <v>44105</v>
      </c>
    </row>
    <row r="228" customFormat="false" ht="15" hidden="false" customHeight="false" outlineLevel="0" collapsed="false">
      <c r="A228" s="5" t="n">
        <v>44136</v>
      </c>
      <c r="B228" s="3" t="n">
        <f aca="false">YEAR(A228)</f>
        <v>2020</v>
      </c>
      <c r="C228" s="3" t="n">
        <f aca="false">MONTH(A228)</f>
        <v>11</v>
      </c>
      <c r="D228" s="1" t="n">
        <v>104.418800311</v>
      </c>
      <c r="E228" s="1" t="n">
        <v>260.907602016</v>
      </c>
      <c r="F228" s="1" t="n">
        <v>3159.624648767</v>
      </c>
      <c r="G228" s="1" t="n">
        <v>2764.967959652</v>
      </c>
      <c r="H228" s="1" t="n">
        <v>-437.043643693</v>
      </c>
      <c r="I228" s="1" t="n">
        <v>1958.584280389</v>
      </c>
      <c r="J228" s="1" t="n">
        <v>1515.491683824</v>
      </c>
      <c r="K228" s="1" t="n">
        <v>442.300033491</v>
      </c>
      <c r="L228" s="1" t="n">
        <v>42.218541878</v>
      </c>
      <c r="M228" s="1" t="n">
        <v>90.5688467</v>
      </c>
      <c r="O228" s="5" t="n">
        <v>44136</v>
      </c>
    </row>
    <row r="229" customFormat="false" ht="15" hidden="false" customHeight="false" outlineLevel="0" collapsed="false">
      <c r="A229" s="5" t="n">
        <v>44166</v>
      </c>
      <c r="B229" s="3" t="n">
        <f aca="false">YEAR(A229)</f>
        <v>2020</v>
      </c>
      <c r="C229" s="3" t="n">
        <f aca="false">MONTH(A229)</f>
        <v>12</v>
      </c>
      <c r="D229" s="1" t="n">
        <v>104.410226801</v>
      </c>
      <c r="E229" s="1" t="n">
        <v>261.991163946</v>
      </c>
      <c r="F229" s="1" t="n">
        <v>3186.457009667</v>
      </c>
      <c r="G229" s="1" t="n">
        <v>3496.997178526</v>
      </c>
      <c r="H229" s="1" t="n">
        <v>124.544941555</v>
      </c>
      <c r="I229" s="1" t="n">
        <v>1841.907671287</v>
      </c>
      <c r="J229" s="1" t="n">
        <v>1639.545349749</v>
      </c>
      <c r="K229" s="1" t="n">
        <v>195.198828457</v>
      </c>
      <c r="L229" s="1" t="n">
        <v>50.986962136</v>
      </c>
      <c r="M229" s="1" t="n">
        <v>90.561410368</v>
      </c>
      <c r="O229" s="5" t="n">
        <v>44166</v>
      </c>
    </row>
    <row r="230" customFormat="false" ht="15" hidden="false" customHeight="false" outlineLevel="0" collapsed="false">
      <c r="A230" s="5" t="n">
        <v>44197</v>
      </c>
      <c r="B230" s="3" t="n">
        <f aca="false">YEAR(A230)</f>
        <v>2021</v>
      </c>
      <c r="C230" s="3" t="n">
        <f aca="false">MONTH(A230)</f>
        <v>1</v>
      </c>
      <c r="D230" s="1" t="n">
        <v>104.361965675</v>
      </c>
      <c r="E230" s="1" t="n">
        <v>262.673217005</v>
      </c>
      <c r="F230" s="1" t="n">
        <v>3143.120871664</v>
      </c>
      <c r="G230" s="1" t="n">
        <v>3098.934006097</v>
      </c>
      <c r="H230" s="1" t="n">
        <v>-299.036951819</v>
      </c>
      <c r="I230" s="1" t="n">
        <v>1924.745886074</v>
      </c>
      <c r="J230" s="1" t="n">
        <v>1636.480989753</v>
      </c>
      <c r="K230" s="1" t="n">
        <v>228.827584343</v>
      </c>
      <c r="L230" s="1" t="n">
        <v>53.656280643</v>
      </c>
      <c r="M230" s="1" t="n">
        <v>90.519550525</v>
      </c>
      <c r="O230" s="5" t="n">
        <v>44197</v>
      </c>
    </row>
    <row r="231" customFormat="false" ht="15" hidden="false" customHeight="false" outlineLevel="0" collapsed="false">
      <c r="A231" s="5" t="n">
        <v>44228</v>
      </c>
      <c r="B231" s="3" t="n">
        <f aca="false">YEAR(A231)</f>
        <v>2021</v>
      </c>
      <c r="C231" s="3" t="n">
        <f aca="false">MONTH(A231)</f>
        <v>2</v>
      </c>
      <c r="D231" s="1" t="n">
        <v>104.492608199</v>
      </c>
      <c r="E231" s="1" t="n">
        <v>263.667852686</v>
      </c>
      <c r="F231" s="1" t="n">
        <v>2925.816631508</v>
      </c>
      <c r="G231" s="1" t="n">
        <v>2979.598221267</v>
      </c>
      <c r="H231" s="1" t="n">
        <v>-190.590360085</v>
      </c>
      <c r="I231" s="1" t="n">
        <v>2022.513145945</v>
      </c>
      <c r="J231" s="1" t="n">
        <v>1719.403892833</v>
      </c>
      <c r="K231" s="1" t="n">
        <v>293.759541337</v>
      </c>
      <c r="L231" s="1" t="n">
        <v>57.866584011</v>
      </c>
      <c r="M231" s="1" t="n">
        <v>90.63286482</v>
      </c>
      <c r="O231" s="5" t="n">
        <v>44228</v>
      </c>
    </row>
    <row r="232" customFormat="false" ht="15" hidden="false" customHeight="false" outlineLevel="0" collapsed="false">
      <c r="A232" s="5" t="n">
        <v>44256</v>
      </c>
      <c r="B232" s="3" t="n">
        <f aca="false">YEAR(A232)</f>
        <v>2021</v>
      </c>
      <c r="C232" s="3" t="n">
        <f aca="false">MONTH(A232)</f>
        <v>3</v>
      </c>
      <c r="D232" s="1" t="n">
        <v>104.704578173</v>
      </c>
      <c r="E232" s="1" t="n">
        <v>264.822599165</v>
      </c>
      <c r="F232" s="1" t="n">
        <v>3612.232761515</v>
      </c>
      <c r="I232" s="1" t="n">
        <v>2016.471441658</v>
      </c>
      <c r="J232" s="1" t="n">
        <v>1951.30709663</v>
      </c>
      <c r="K232" s="1" t="n">
        <v>161.849953683</v>
      </c>
      <c r="L232" s="1" t="n">
        <v>62.848588739</v>
      </c>
      <c r="M232" s="1" t="n">
        <v>90.816719412</v>
      </c>
      <c r="O232" s="5" t="n">
        <v>44256</v>
      </c>
    </row>
    <row r="233" customFormat="false" ht="15" hidden="false" customHeight="false" outlineLevel="0" collapsed="false">
      <c r="A233" s="5" t="n">
        <v>44287</v>
      </c>
      <c r="B233" s="3" t="n">
        <f aca="false">YEAR(A233)</f>
        <v>2021</v>
      </c>
      <c r="C233" s="3" t="n">
        <f aca="false">MONTH(A233)</f>
        <v>4</v>
      </c>
      <c r="D233" s="1" t="n">
        <v>104.856039218</v>
      </c>
      <c r="E233" s="1" t="n">
        <v>266.776057188</v>
      </c>
      <c r="F233" s="1" t="n">
        <v>3215.456777544</v>
      </c>
      <c r="I233" s="1" t="n">
        <v>2181.731532598</v>
      </c>
      <c r="J233" s="1" t="n">
        <v>1776.601130093</v>
      </c>
      <c r="K233" s="1" t="n">
        <v>401.495254374</v>
      </c>
      <c r="L233" s="1" t="n">
        <v>60.555420046</v>
      </c>
      <c r="M233" s="1" t="n">
        <v>90.948090889</v>
      </c>
      <c r="O233" s="5" t="n">
        <v>44287</v>
      </c>
    </row>
    <row r="234" customFormat="false" ht="15" hidden="false" customHeight="false" outlineLevel="0" collapsed="false">
      <c r="A234" s="5" t="n">
        <v>44317</v>
      </c>
      <c r="B234" s="3" t="n">
        <f aca="false">YEAR(A234)</f>
        <v>2021</v>
      </c>
      <c r="C234" s="3" t="n">
        <f aca="false">MONTH(A234)</f>
        <v>5</v>
      </c>
      <c r="D234" s="1" t="n">
        <v>104.919543239</v>
      </c>
      <c r="E234" s="1" t="n">
        <v>268.410674406</v>
      </c>
      <c r="F234" s="1" t="n">
        <v>3566.818076378</v>
      </c>
      <c r="I234" s="1" t="n">
        <v>2128.497673206</v>
      </c>
      <c r="J234" s="1" t="n">
        <v>1845.512059684</v>
      </c>
      <c r="K234" s="1" t="n">
        <v>315.818586015</v>
      </c>
      <c r="L234" s="1" t="n">
        <v>64.236453852</v>
      </c>
      <c r="M234" s="1" t="n">
        <v>91.003171833</v>
      </c>
      <c r="O234" s="5" t="n">
        <v>44317</v>
      </c>
    </row>
    <row r="235" customFormat="false" ht="15" hidden="false" customHeight="false" outlineLevel="0" collapsed="false">
      <c r="A235" s="5" t="n">
        <v>44348</v>
      </c>
      <c r="B235" s="3" t="n">
        <f aca="false">YEAR(A235)</f>
        <v>2021</v>
      </c>
      <c r="C235" s="3" t="n">
        <f aca="false">MONTH(A235)</f>
        <v>6</v>
      </c>
      <c r="D235" s="1" t="n">
        <v>104.886050065</v>
      </c>
      <c r="E235" s="1" t="n">
        <v>270.629881432</v>
      </c>
      <c r="F235" s="1" t="n">
        <v>3409.443800993</v>
      </c>
      <c r="I235" s="1" t="n">
        <v>2228.299247668</v>
      </c>
      <c r="J235" s="1" t="n">
        <v>1934.275109685</v>
      </c>
      <c r="K235" s="1" t="n">
        <v>285.816369267</v>
      </c>
      <c r="L235" s="1" t="n">
        <v>68.705993685</v>
      </c>
      <c r="M235" s="1" t="n">
        <v>90.974121145</v>
      </c>
      <c r="O235" s="5" t="n">
        <v>44348</v>
      </c>
    </row>
    <row r="236" customFormat="false" ht="15" hidden="false" customHeight="false" outlineLevel="0" collapsed="false">
      <c r="A236" s="5" t="n">
        <v>44378</v>
      </c>
      <c r="B236" s="3" t="n">
        <f aca="false">YEAR(A236)</f>
        <v>2021</v>
      </c>
      <c r="C236" s="3" t="n">
        <f aca="false">MONTH(A236)</f>
        <v>7</v>
      </c>
      <c r="D236" s="1" t="n">
        <v>105.320145576</v>
      </c>
      <c r="E236" s="1" t="n">
        <v>272.058193211</v>
      </c>
      <c r="F236" s="1" t="n">
        <v>3429.838423397</v>
      </c>
      <c r="I236" s="1" t="n">
        <v>2264.123750981</v>
      </c>
      <c r="J236" s="1" t="n">
        <v>2125.065416582</v>
      </c>
      <c r="K236" s="1" t="n">
        <v>115.899627832</v>
      </c>
      <c r="L236" s="1" t="n">
        <v>69.944723275</v>
      </c>
      <c r="M236" s="1" t="n">
        <v>91.350638878</v>
      </c>
      <c r="O236" s="5" t="n">
        <v>44378</v>
      </c>
    </row>
    <row r="237" customFormat="false" ht="15" hidden="false" customHeight="false" outlineLevel="0" collapsed="false">
      <c r="A237" s="5" t="n">
        <v>44409</v>
      </c>
      <c r="B237" s="3" t="n">
        <f aca="false">YEAR(A237)</f>
        <v>2021</v>
      </c>
      <c r="C237" s="3" t="n">
        <f aca="false">MONTH(A237)</f>
        <v>8</v>
      </c>
      <c r="D237" s="1" t="n">
        <v>105.52110345</v>
      </c>
      <c r="E237" s="1" t="n">
        <v>272.987782514</v>
      </c>
      <c r="F237" s="1" t="n">
        <v>3424.505203939</v>
      </c>
      <c r="I237" s="1" t="n">
        <v>2247.870177415</v>
      </c>
      <c r="J237" s="1" t="n">
        <v>2150.169752656</v>
      </c>
      <c r="K237" s="1" t="n">
        <v>85.512184131</v>
      </c>
      <c r="L237" s="1" t="n">
        <v>67.642342963</v>
      </c>
      <c r="M237" s="1" t="n">
        <v>91.524942</v>
      </c>
      <c r="O237" s="5" t="n">
        <v>44409</v>
      </c>
    </row>
    <row r="238" customFormat="false" ht="15" hidden="false" customHeight="false" outlineLevel="0" collapsed="false">
      <c r="A238" s="5" t="n">
        <v>44440</v>
      </c>
      <c r="B238" s="3" t="n">
        <f aca="false">YEAR(A238)</f>
        <v>2021</v>
      </c>
      <c r="C238" s="3" t="n">
        <f aca="false">MONTH(A238)</f>
        <v>9</v>
      </c>
      <c r="D238" s="1" t="n">
        <v>105.495106995</v>
      </c>
      <c r="E238" s="1" t="n">
        <v>273.998617142</v>
      </c>
      <c r="F238" s="1" t="n">
        <v>3205.213772791</v>
      </c>
      <c r="I238" s="1" t="n">
        <v>2364.16398334</v>
      </c>
      <c r="J238" s="1" t="n">
        <v>2022.876402435</v>
      </c>
      <c r="K238" s="1" t="n">
        <v>292.877328623</v>
      </c>
      <c r="L238" s="1" t="n">
        <v>73.106886259</v>
      </c>
      <c r="M238" s="1" t="n">
        <v>91.502393674</v>
      </c>
      <c r="O238" s="5" t="n">
        <v>44440</v>
      </c>
    </row>
    <row r="239" customFormat="false" ht="15" hidden="false" customHeight="false" outlineLevel="0" collapsed="false">
      <c r="A239" s="5" t="n">
        <v>44470</v>
      </c>
      <c r="B239" s="3" t="n">
        <f aca="false">YEAR(A239)</f>
        <v>2021</v>
      </c>
      <c r="C239" s="3" t="n">
        <f aca="false">MONTH(A239)</f>
        <v>10</v>
      </c>
      <c r="D239" s="1" t="n">
        <v>105.803166317</v>
      </c>
      <c r="E239" s="1" t="n">
        <v>276.45087937</v>
      </c>
      <c r="F239" s="1" t="n">
        <v>3241.241350382</v>
      </c>
      <c r="I239" s="1" t="n">
        <v>2562.746349604</v>
      </c>
      <c r="J239" s="1" t="n">
        <v>2093.329767645</v>
      </c>
      <c r="K239" s="1" t="n">
        <v>497.035551667</v>
      </c>
      <c r="L239" s="1" t="n">
        <v>80.572057711</v>
      </c>
      <c r="M239" s="1" t="n">
        <v>91.769592469</v>
      </c>
      <c r="O239" s="5" t="n">
        <v>44470</v>
      </c>
    </row>
    <row r="240" customFormat="false" ht="15" hidden="false" customHeight="false" outlineLevel="0" collapsed="false">
      <c r="A240" s="5" t="n">
        <v>44501</v>
      </c>
      <c r="B240" s="3" t="n">
        <f aca="false">YEAR(A240)</f>
        <v>2021</v>
      </c>
      <c r="C240" s="3" t="n">
        <f aca="false">MONTH(A240)</f>
        <v>11</v>
      </c>
      <c r="D240" s="1" t="n">
        <v>106.30995672</v>
      </c>
      <c r="E240" s="1" t="n">
        <v>278.756886424</v>
      </c>
      <c r="F240" s="1" t="n">
        <v>3330.726067399</v>
      </c>
      <c r="I240" s="1" t="n">
        <v>2617.427695113</v>
      </c>
      <c r="J240" s="1" t="n">
        <v>2194.954198589</v>
      </c>
      <c r="K240" s="1" t="n">
        <v>398.123256088</v>
      </c>
      <c r="L240" s="1" t="n">
        <v>80.531835054</v>
      </c>
      <c r="M240" s="1" t="n">
        <v>92.209162949</v>
      </c>
      <c r="O240" s="5" t="n">
        <v>44501</v>
      </c>
    </row>
    <row r="241" customFormat="false" ht="15" hidden="false" customHeight="false" outlineLevel="0" collapsed="false">
      <c r="A241" s="5" t="n">
        <v>44531</v>
      </c>
      <c r="B241" s="3" t="n">
        <f aca="false">YEAR(A241)</f>
        <v>2021</v>
      </c>
      <c r="C241" s="3" t="n">
        <f aca="false">MONTH(A241)</f>
        <v>12</v>
      </c>
      <c r="D241" s="1" t="n">
        <v>106.434795908</v>
      </c>
      <c r="E241" s="1" t="n">
        <v>280.468750619</v>
      </c>
      <c r="F241" s="1" t="n">
        <v>3572.604795321</v>
      </c>
      <c r="I241" s="1" t="n">
        <v>2132.573286098</v>
      </c>
      <c r="J241" s="1" t="n">
        <v>2285.503774584</v>
      </c>
      <c r="K241" s="1" t="n">
        <v>-170.858720694</v>
      </c>
      <c r="L241" s="1" t="n">
        <v>75.987807809</v>
      </c>
      <c r="M241" s="1" t="n">
        <v>92.317443654</v>
      </c>
      <c r="O241" s="5" t="n">
        <v>44531</v>
      </c>
    </row>
    <row r="242" customFormat="false" ht="15" hidden="false" customHeight="false" outlineLevel="0" collapsed="false">
      <c r="A242" s="5" t="n">
        <v>44562</v>
      </c>
      <c r="B242" s="3" t="n">
        <f aca="false">YEAR(A242)</f>
        <v>2022</v>
      </c>
      <c r="C242" s="3" t="n">
        <f aca="false">MONTH(A242)</f>
        <v>1</v>
      </c>
      <c r="D242" s="1" t="n">
        <v>107.06387721</v>
      </c>
      <c r="E242" s="1" t="n">
        <v>282.377781997</v>
      </c>
      <c r="F242" s="1" t="n">
        <v>3456.511165873</v>
      </c>
      <c r="I242" s="1" t="n">
        <v>2625.257608706</v>
      </c>
      <c r="J242" s="1" t="n">
        <v>2469.363445033</v>
      </c>
      <c r="K242" s="1" t="n">
        <v>104.612163188</v>
      </c>
      <c r="L242" s="1" t="n">
        <v>85.23286664</v>
      </c>
      <c r="M242" s="1" t="n">
        <v>92.863084553</v>
      </c>
      <c r="O242" s="5" t="n">
        <v>44562</v>
      </c>
    </row>
    <row r="243" customFormat="false" ht="15" hidden="false" customHeight="false" outlineLevel="0" collapsed="false">
      <c r="A243" s="5" t="n">
        <v>44593</v>
      </c>
      <c r="B243" s="3" t="n">
        <f aca="false">YEAR(A243)</f>
        <v>2022</v>
      </c>
      <c r="C243" s="3" t="n">
        <f aca="false">MONTH(A243)</f>
        <v>2</v>
      </c>
      <c r="D243" s="1" t="n">
        <v>107.381477652</v>
      </c>
      <c r="E243" s="1" t="n">
        <v>284.398983056</v>
      </c>
      <c r="F243" s="1" t="n">
        <v>3661.65496391</v>
      </c>
      <c r="I243" s="1" t="n">
        <v>2738.577001091</v>
      </c>
      <c r="J243" s="1" t="n">
        <v>2457.701725824</v>
      </c>
      <c r="K243" s="1" t="n">
        <v>347.595815491</v>
      </c>
      <c r="L243" s="1" t="n">
        <v>90.97802161</v>
      </c>
      <c r="M243" s="1" t="n">
        <v>93.138558946</v>
      </c>
      <c r="O243" s="5" t="n">
        <v>44593</v>
      </c>
    </row>
    <row r="244" customFormat="false" ht="15" hidden="false" customHeight="false" outlineLevel="0" collapsed="false">
      <c r="A244" s="5" t="n">
        <v>44621</v>
      </c>
      <c r="B244" s="3" t="n">
        <f aca="false">YEAR(A244)</f>
        <v>2022</v>
      </c>
      <c r="C244" s="3" t="n">
        <f aca="false">MONTH(A244)</f>
        <v>3</v>
      </c>
      <c r="D244" s="1" t="n">
        <v>107.528231946</v>
      </c>
      <c r="E244" s="1" t="n">
        <v>287.436437086</v>
      </c>
      <c r="F244" s="1" t="n">
        <v>3647.318813002</v>
      </c>
      <c r="I244" s="1" t="n">
        <v>2855.751930369</v>
      </c>
      <c r="J244" s="1" t="n">
        <v>2591.562759303</v>
      </c>
      <c r="K244" s="1" t="n">
        <v>345.583333652</v>
      </c>
      <c r="L244" s="1" t="n">
        <v>108.440520045</v>
      </c>
      <c r="M244" s="1" t="n">
        <v>93.265847968</v>
      </c>
      <c r="O244" s="5" t="n">
        <v>44621</v>
      </c>
    </row>
    <row r="245" customFormat="false" ht="15" hidden="false" customHeight="false" outlineLevel="0" collapsed="false">
      <c r="A245" s="5" t="n">
        <v>44652</v>
      </c>
      <c r="B245" s="3" t="n">
        <f aca="false">YEAR(A245)</f>
        <v>2022</v>
      </c>
      <c r="C245" s="3" t="n">
        <f aca="false">MONTH(A245)</f>
        <v>4</v>
      </c>
      <c r="D245" s="1" t="n">
        <v>107.96225746</v>
      </c>
      <c r="E245" s="1" t="n">
        <v>288.753973649</v>
      </c>
      <c r="F245" s="1" t="n">
        <v>3888.036818785</v>
      </c>
      <c r="I245" s="1" t="n">
        <v>2823.60258009</v>
      </c>
      <c r="J245" s="1" t="n">
        <v>2574.000420972</v>
      </c>
      <c r="K245" s="1" t="n">
        <v>303.250615174</v>
      </c>
      <c r="L245" s="1" t="n">
        <v>100.323128552</v>
      </c>
      <c r="M245" s="1" t="n">
        <v>93.642304986</v>
      </c>
      <c r="O245" s="5" t="n">
        <v>44652</v>
      </c>
    </row>
    <row r="246" customFormat="false" ht="15" hidden="false" customHeight="false" outlineLevel="0" collapsed="false">
      <c r="A246" s="5" t="n">
        <v>44682</v>
      </c>
      <c r="B246" s="3" t="n">
        <f aca="false">YEAR(A246)</f>
        <v>2022</v>
      </c>
      <c r="C246" s="3" t="n">
        <f aca="false">MONTH(A246)</f>
        <v>5</v>
      </c>
      <c r="D246" s="1" t="n">
        <v>108.506954103</v>
      </c>
      <c r="E246" s="1" t="n">
        <v>291.42987455</v>
      </c>
      <c r="F246" s="1" t="n">
        <v>3583.513248989</v>
      </c>
      <c r="I246" s="1" t="n">
        <v>2733.14328539</v>
      </c>
      <c r="J246" s="1" t="n">
        <v>2503.638330005</v>
      </c>
      <c r="K246" s="1" t="n">
        <v>263.995135245</v>
      </c>
      <c r="L246" s="1" t="n">
        <v>108.38483075</v>
      </c>
      <c r="M246" s="1" t="n">
        <v>94.114753882</v>
      </c>
      <c r="O246" s="5" t="n">
        <v>44682</v>
      </c>
    </row>
    <row r="247" customFormat="false" ht="15" hidden="false" customHeight="false" outlineLevel="0" collapsed="false">
      <c r="A247" s="5" t="n">
        <v>44713</v>
      </c>
      <c r="B247" s="3" t="n">
        <f aca="false">YEAR(A247)</f>
        <v>2022</v>
      </c>
      <c r="C247" s="3" t="n">
        <f aca="false">MONTH(A247)</f>
        <v>6</v>
      </c>
      <c r="D247" s="1" t="n">
        <v>109.332085264</v>
      </c>
      <c r="E247" s="1" t="n">
        <v>295.101933333</v>
      </c>
      <c r="F247" s="1" t="n">
        <v>3960.613242095</v>
      </c>
      <c r="I247" s="1" t="n">
        <v>2965.707784753</v>
      </c>
      <c r="J247" s="1" t="n">
        <v>2708.885642553</v>
      </c>
      <c r="K247" s="1" t="n">
        <v>251.285776578</v>
      </c>
      <c r="L247" s="1" t="n">
        <v>111.51629401</v>
      </c>
      <c r="M247" s="1" t="n">
        <v>94.83044088</v>
      </c>
      <c r="O247" s="5" t="n">
        <v>44713</v>
      </c>
    </row>
    <row r="248" customFormat="false" ht="15" hidden="false" customHeight="false" outlineLevel="0" collapsed="false">
      <c r="A248" s="5" t="n">
        <v>44743</v>
      </c>
      <c r="B248" s="3" t="n">
        <f aca="false">YEAR(A248)</f>
        <v>2022</v>
      </c>
      <c r="C248" s="3" t="n">
        <f aca="false">MONTH(A248)</f>
        <v>7</v>
      </c>
      <c r="D248" s="1" t="n">
        <v>109.32379326</v>
      </c>
      <c r="E248" s="1" t="n">
        <v>295.281361859</v>
      </c>
      <c r="F248" s="1" t="n">
        <v>3764.730228261</v>
      </c>
      <c r="I248" s="1" t="n">
        <v>2716.318129854</v>
      </c>
      <c r="J248" s="1" t="n">
        <v>2512.939999564</v>
      </c>
      <c r="K248" s="1" t="n">
        <v>219.420029241</v>
      </c>
      <c r="L248" s="1" t="n">
        <v>97.534779595</v>
      </c>
      <c r="M248" s="1" t="n">
        <v>94.823248718</v>
      </c>
      <c r="O248" s="5" t="n">
        <v>44743</v>
      </c>
    </row>
    <row r="249" customFormat="false" ht="15" hidden="false" customHeight="false" outlineLevel="0" collapsed="false">
      <c r="A249" s="5" t="n">
        <v>44774</v>
      </c>
      <c r="B249" s="3" t="n">
        <f aca="false">YEAR(A249)</f>
        <v>2022</v>
      </c>
      <c r="C249" s="3" t="n">
        <f aca="false">MONTH(A249)</f>
        <v>8</v>
      </c>
      <c r="D249" s="1" t="n">
        <v>109.434872153</v>
      </c>
      <c r="E249" s="1" t="n">
        <v>295.540534059</v>
      </c>
      <c r="F249" s="1" t="n">
        <v>3776.217478511</v>
      </c>
      <c r="I249" s="1" t="n">
        <v>2653.523678275</v>
      </c>
      <c r="J249" s="1" t="n">
        <v>2468.057423231</v>
      </c>
      <c r="K249" s="1" t="n">
        <v>170.713843583</v>
      </c>
      <c r="L249" s="1" t="n">
        <v>91.388798019</v>
      </c>
      <c r="M249" s="1" t="n">
        <v>94.919594273</v>
      </c>
      <c r="O249" s="5" t="n">
        <v>44774</v>
      </c>
    </row>
    <row r="250" customFormat="false" ht="15" hidden="false" customHeight="false" outlineLevel="0" collapsed="false">
      <c r="A250" s="5" t="n">
        <v>44805</v>
      </c>
      <c r="B250" s="3" t="n">
        <f aca="false">YEAR(A250)</f>
        <v>2022</v>
      </c>
      <c r="C250" s="3" t="n">
        <f aca="false">MONTH(A250)</f>
        <v>9</v>
      </c>
      <c r="D250" s="1" t="n">
        <v>109.785163689</v>
      </c>
      <c r="E250" s="1" t="n">
        <v>296.455039847</v>
      </c>
      <c r="F250" s="1" t="n">
        <v>3878.499782054</v>
      </c>
      <c r="I250" s="1" t="n">
        <v>2686.021906795</v>
      </c>
      <c r="J250" s="1" t="n">
        <v>2619.135708757</v>
      </c>
      <c r="K250" s="1" t="n">
        <v>-51.121114747</v>
      </c>
      <c r="L250" s="1" t="n">
        <v>85.943434033</v>
      </c>
      <c r="M250" s="1" t="n">
        <v>95.22342366</v>
      </c>
      <c r="O250" s="5" t="n">
        <v>44805</v>
      </c>
    </row>
    <row r="251" customFormat="false" ht="15" hidden="false" customHeight="false" outlineLevel="0" collapsed="false">
      <c r="A251" s="5" t="n">
        <v>44835</v>
      </c>
      <c r="B251" s="3" t="n">
        <f aca="false">YEAR(A251)</f>
        <v>2022</v>
      </c>
      <c r="C251" s="3" t="n">
        <f aca="false">MONTH(A251)</f>
        <v>10</v>
      </c>
      <c r="D251" s="1" t="n">
        <v>110.007610215</v>
      </c>
      <c r="E251" s="1" t="n">
        <v>297.9300488</v>
      </c>
      <c r="F251" s="1" t="n">
        <v>3898.680229263</v>
      </c>
      <c r="I251" s="1" t="n">
        <v>2622.536947661</v>
      </c>
      <c r="J251" s="1" t="n">
        <v>2500.950148033</v>
      </c>
      <c r="K251" s="1" t="n">
        <v>143.331706553</v>
      </c>
      <c r="L251" s="1" t="n">
        <v>85.67315907</v>
      </c>
      <c r="M251" s="1" t="n">
        <v>95.416365212</v>
      </c>
      <c r="O251" s="5" t="n">
        <v>44835</v>
      </c>
    </row>
    <row r="252" customFormat="false" ht="15" hidden="false" customHeight="false" outlineLevel="0" collapsed="false">
      <c r="A252" s="5" t="n">
        <v>44866</v>
      </c>
      <c r="B252" s="3" t="n">
        <f aca="false">YEAR(A252)</f>
        <v>2022</v>
      </c>
      <c r="C252" s="3" t="n">
        <f aca="false">MONTH(A252)</f>
        <v>11</v>
      </c>
      <c r="D252" s="1" t="n">
        <v>110.165535294</v>
      </c>
      <c r="E252" s="1" t="n">
        <v>298.630204434</v>
      </c>
      <c r="F252" s="1" t="n">
        <v>3934.334322568</v>
      </c>
      <c r="I252" s="1" t="n">
        <v>2570.798030916</v>
      </c>
      <c r="J252" s="1" t="n">
        <v>2536.009951464</v>
      </c>
      <c r="K252" s="1" t="n">
        <v>21.211362849</v>
      </c>
      <c r="L252" s="1" t="n">
        <v>86.105442142</v>
      </c>
      <c r="M252" s="1" t="n">
        <v>95.553343343</v>
      </c>
      <c r="O252" s="5" t="n">
        <v>44866</v>
      </c>
    </row>
    <row r="253" customFormat="false" ht="15" hidden="false" customHeight="false" outlineLevel="0" collapsed="false">
      <c r="A253" s="5" t="n">
        <v>44896</v>
      </c>
      <c r="B253" s="3" t="n">
        <f aca="false">YEAR(A253)</f>
        <v>2022</v>
      </c>
      <c r="C253" s="3" t="n">
        <f aca="false">MONTH(A253)</f>
        <v>12</v>
      </c>
      <c r="D253" s="1" t="n">
        <v>110.419378806</v>
      </c>
      <c r="E253" s="1" t="n">
        <v>298.618559399</v>
      </c>
      <c r="F253" s="1" t="n">
        <v>3764.36397783</v>
      </c>
      <c r="I253" s="1" t="n">
        <v>2646.113921582</v>
      </c>
      <c r="J253" s="1" t="n">
        <v>2416.618201789</v>
      </c>
      <c r="K253" s="1" t="n">
        <v>200.113187779</v>
      </c>
      <c r="L253" s="1" t="n">
        <v>81.415394263</v>
      </c>
      <c r="M253" s="1" t="n">
        <v>95.773517432</v>
      </c>
      <c r="O253" s="5" t="n">
        <v>44896</v>
      </c>
    </row>
    <row r="254" customFormat="false" ht="15" hidden="false" customHeight="false" outlineLevel="0" collapsed="false">
      <c r="A254" s="5" t="n">
        <v>44927</v>
      </c>
      <c r="B254" s="3" t="n">
        <f aca="false">YEAR(A254)</f>
        <v>2023</v>
      </c>
      <c r="C254" s="3" t="n">
        <f aca="false">MONTH(A254)</f>
        <v>1</v>
      </c>
      <c r="D254" s="1" t="n">
        <v>110.432750307</v>
      </c>
      <c r="E254" s="1" t="n">
        <v>300.501520301</v>
      </c>
      <c r="F254" s="1" t="n">
        <v>4108.131690503</v>
      </c>
      <c r="I254" s="1" t="n">
        <v>2501.078819863</v>
      </c>
      <c r="J254" s="1" t="n">
        <v>2360.957658019</v>
      </c>
      <c r="K254" s="1" t="n">
        <v>60.56618262</v>
      </c>
      <c r="L254" s="1" t="n">
        <v>80.682814548</v>
      </c>
      <c r="M254" s="1" t="n">
        <v>95.785115357</v>
      </c>
      <c r="O254" s="5" t="n">
        <v>44927</v>
      </c>
    </row>
    <row r="255" customFormat="false" ht="15" hidden="false" customHeight="false" outlineLevel="0" collapsed="false">
      <c r="A255" s="5" t="n">
        <v>44958</v>
      </c>
      <c r="B255" s="3" t="n">
        <f aca="false">YEAR(A255)</f>
        <v>2023</v>
      </c>
      <c r="C255" s="3" t="n">
        <f aca="false">MONTH(A255)</f>
        <v>2</v>
      </c>
      <c r="D255" s="1" t="n">
        <v>110.53223723</v>
      </c>
      <c r="E255" s="1" t="n">
        <v>301.514469281</v>
      </c>
      <c r="F255" s="1" t="n">
        <v>4031.576211325</v>
      </c>
      <c r="I255" s="1" t="n">
        <v>2585.114330854</v>
      </c>
      <c r="J255" s="1" t="n">
        <v>2611.98553112</v>
      </c>
      <c r="K255" s="1" t="n">
        <v>83.500058245</v>
      </c>
      <c r="L255" s="1" t="n">
        <v>76.82209987</v>
      </c>
      <c r="M255" s="1" t="n">
        <v>95.871406482</v>
      </c>
      <c r="O255" s="5" t="n">
        <v>44958</v>
      </c>
    </row>
    <row r="256" customFormat="false" ht="15" hidden="false" customHeight="false" outlineLevel="0" collapsed="false">
      <c r="A256" s="5" t="n">
        <v>44986</v>
      </c>
      <c r="B256" s="3" t="n">
        <f aca="false">YEAR(A256)</f>
        <v>2023</v>
      </c>
      <c r="C256" s="3" t="n">
        <f aca="false">MONTH(A256)</f>
        <v>3</v>
      </c>
      <c r="D256" s="1" t="n">
        <v>110.633019893</v>
      </c>
      <c r="E256" s="1" t="n">
        <v>301.727009558</v>
      </c>
      <c r="F256" s="1" t="n">
        <v>3853.801856219</v>
      </c>
      <c r="I256" s="1" t="n">
        <v>2507.395912794</v>
      </c>
      <c r="J256" s="1" t="n">
        <v>2404.931029894</v>
      </c>
      <c r="K256" s="1" t="n">
        <v>175.388227472</v>
      </c>
      <c r="L256" s="1" t="n">
        <v>72.977538387</v>
      </c>
      <c r="M256" s="1" t="n">
        <v>95.958821481</v>
      </c>
      <c r="O256" s="5" t="n">
        <v>44986</v>
      </c>
    </row>
    <row r="257" customFormat="false" ht="15" hidden="false" customHeight="false" outlineLevel="0" collapsed="false">
      <c r="A257" s="5" t="n">
        <v>45017</v>
      </c>
      <c r="B257" s="3" t="n">
        <f aca="false">YEAR(A257)</f>
        <v>2023</v>
      </c>
      <c r="C257" s="3" t="n">
        <f aca="false">MONTH(A257)</f>
        <v>4</v>
      </c>
      <c r="D257" s="1" t="n">
        <v>110.655895709</v>
      </c>
      <c r="E257" s="1" t="n">
        <v>302.953513372</v>
      </c>
      <c r="F257" s="1" t="n">
        <v>3854.681624891</v>
      </c>
      <c r="I257" s="1" t="n">
        <v>2473.154120639</v>
      </c>
      <c r="J257" s="1" t="n">
        <v>2442.675853464</v>
      </c>
      <c r="K257" s="1" t="n">
        <v>86.469060101</v>
      </c>
      <c r="L257" s="1" t="n">
        <v>77.854905535</v>
      </c>
      <c r="M257" s="1" t="n">
        <v>95.978663083</v>
      </c>
      <c r="O257" s="5" t="n">
        <v>45017</v>
      </c>
    </row>
    <row r="258" customFormat="false" ht="15" hidden="false" customHeight="false" outlineLevel="0" collapsed="false">
      <c r="A258" s="5" t="n">
        <v>45047</v>
      </c>
      <c r="B258" s="3" t="n">
        <f aca="false">YEAR(A258)</f>
        <v>2023</v>
      </c>
      <c r="C258" s="3" t="n">
        <f aca="false">MONTH(A258)</f>
        <v>5</v>
      </c>
      <c r="D258" s="1" t="n">
        <v>110.67271394</v>
      </c>
      <c r="E258" s="1" t="n">
        <v>303.17475083</v>
      </c>
      <c r="F258" s="1" t="n">
        <v>4300.170720734</v>
      </c>
      <c r="I258" s="1" t="n">
        <v>2538.845570956</v>
      </c>
      <c r="J258" s="1" t="n">
        <v>2418.31213992</v>
      </c>
      <c r="K258" s="1" t="n">
        <v>156.739518254</v>
      </c>
      <c r="L258" s="1" t="n">
        <v>69.768457876</v>
      </c>
      <c r="M258" s="1" t="n">
        <v>95.99325057</v>
      </c>
      <c r="O258" s="5" t="n">
        <v>45047</v>
      </c>
    </row>
    <row r="259" customFormat="false" ht="15" hidden="false" customHeight="false" outlineLevel="0" collapsed="false">
      <c r="A259" s="5" t="n">
        <v>45078</v>
      </c>
      <c r="B259" s="3" t="n">
        <f aca="false">YEAR(A259)</f>
        <v>2023</v>
      </c>
      <c r="C259" s="3" t="n">
        <f aca="false">MONTH(A259)</f>
        <v>6</v>
      </c>
      <c r="D259" s="1" t="n">
        <v>111.178040054</v>
      </c>
      <c r="E259" s="1" t="n">
        <v>303.798670518</v>
      </c>
      <c r="F259" s="1" t="n">
        <v>3832.192815713</v>
      </c>
      <c r="I259" s="1" t="n">
        <v>2451.555726418</v>
      </c>
      <c r="J259" s="1" t="n">
        <v>2232.166495256</v>
      </c>
      <c r="K259" s="1" t="n">
        <v>172.376552601</v>
      </c>
      <c r="L259" s="1" t="n">
        <v>66.959234689</v>
      </c>
      <c r="M259" s="1" t="n">
        <v>96.431550986</v>
      </c>
      <c r="O259" s="5" t="n">
        <v>45078</v>
      </c>
    </row>
    <row r="260" customFormat="false" ht="15" hidden="false" customHeight="false" outlineLevel="0" collapsed="false">
      <c r="A260" s="5" t="n">
        <v>45108</v>
      </c>
      <c r="B260" s="3" t="n">
        <f aca="false">YEAR(A260)</f>
        <v>2023</v>
      </c>
      <c r="C260" s="3" t="n">
        <f aca="false">MONTH(A260)</f>
        <v>7</v>
      </c>
      <c r="D260" s="1" t="n">
        <v>111.559023743</v>
      </c>
      <c r="E260" s="1" t="n">
        <v>304.694670481</v>
      </c>
      <c r="F260" s="1" t="n">
        <v>3958.598791978</v>
      </c>
      <c r="I260" s="1" t="n">
        <v>2566.62933071</v>
      </c>
      <c r="J260" s="1" t="n">
        <v>2413.272314202</v>
      </c>
      <c r="K260" s="1" t="n">
        <v>181.487189585</v>
      </c>
      <c r="L260" s="1" t="n">
        <v>74.284726181</v>
      </c>
      <c r="M260" s="1" t="n">
        <v>96.762001571</v>
      </c>
      <c r="O260" s="5" t="n">
        <v>45108</v>
      </c>
    </row>
    <row r="261" customFormat="false" ht="15" hidden="false" customHeight="false" outlineLevel="0" collapsed="false">
      <c r="A261" s="5" t="n">
        <v>45139</v>
      </c>
      <c r="B261" s="3" t="n">
        <f aca="false">YEAR(A261)</f>
        <v>2023</v>
      </c>
      <c r="C261" s="3" t="n">
        <f aca="false">MONTH(A261)</f>
        <v>8</v>
      </c>
      <c r="D261" s="1" t="n">
        <v>112.19533971</v>
      </c>
      <c r="E261" s="1" t="n">
        <v>306.385705588</v>
      </c>
      <c r="F261" s="1" t="n">
        <v>4104.546531143</v>
      </c>
      <c r="I261" s="1" t="n">
        <v>2639.528543382</v>
      </c>
      <c r="J261" s="1" t="n">
        <v>2460.259173251</v>
      </c>
      <c r="K261" s="1" t="n">
        <v>117.509339433</v>
      </c>
      <c r="L261" s="1" t="n">
        <v>81.116744485</v>
      </c>
      <c r="M261" s="1" t="n">
        <v>97.31391754</v>
      </c>
      <c r="O261" s="5" t="n">
        <v>45139</v>
      </c>
    </row>
    <row r="262" customFormat="false" ht="15" hidden="false" customHeight="false" outlineLevel="0" collapsed="false">
      <c r="A262" s="5" t="n">
        <v>45170</v>
      </c>
      <c r="B262" s="3" t="n">
        <f aca="false">YEAR(A262)</f>
        <v>2023</v>
      </c>
      <c r="C262" s="3" t="n">
        <f aca="false">MONTH(A262)</f>
        <v>9</v>
      </c>
      <c r="D262" s="1" t="n">
        <v>112.177791962</v>
      </c>
      <c r="E262" s="1" t="n">
        <v>307.40466851</v>
      </c>
      <c r="F262" s="1" t="n">
        <v>4136.311252556</v>
      </c>
      <c r="I262" s="1" t="n">
        <v>3118.593903049</v>
      </c>
      <c r="J262" s="1" t="n">
        <v>2528.047443197</v>
      </c>
      <c r="K262" s="1" t="n">
        <v>526.983941874</v>
      </c>
      <c r="L262" s="1" t="n">
        <v>91.765190987</v>
      </c>
      <c r="M262" s="1" t="n">
        <v>97.298697296</v>
      </c>
      <c r="O262" s="5" t="n">
        <v>45170</v>
      </c>
    </row>
    <row r="263" customFormat="false" ht="15" hidden="false" customHeight="false" outlineLevel="0" collapsed="false">
      <c r="A263" s="5" t="n">
        <v>45200</v>
      </c>
      <c r="B263" s="3" t="n">
        <f aca="false">YEAR(A263)</f>
        <v>2023</v>
      </c>
      <c r="C263" s="3" t="n">
        <f aca="false">MONTH(A263)</f>
        <v>10</v>
      </c>
      <c r="D263" s="1" t="n">
        <v>112.086350707</v>
      </c>
      <c r="E263" s="1" t="n">
        <v>307.607085186</v>
      </c>
      <c r="F263" s="1" t="n">
        <v>4147.435027593</v>
      </c>
      <c r="I263" s="1" t="n">
        <v>2609.738572796</v>
      </c>
      <c r="J263" s="1" t="n">
        <v>2496.997773354</v>
      </c>
      <c r="K263" s="1" t="n">
        <v>65.1047556</v>
      </c>
      <c r="L263" s="1" t="n">
        <v>83.612444117</v>
      </c>
      <c r="M263" s="1" t="n">
        <v>97.219384671</v>
      </c>
      <c r="O263" s="5" t="n">
        <v>45200</v>
      </c>
    </row>
    <row r="264" customFormat="false" ht="15" hidden="false" customHeight="false" outlineLevel="0" collapsed="false">
      <c r="A264" s="5" t="n">
        <v>45231</v>
      </c>
      <c r="B264" s="3" t="n">
        <f aca="false">YEAR(A264)</f>
        <v>2023</v>
      </c>
      <c r="C264" s="3" t="n">
        <f aca="false">MONTH(A264)</f>
        <v>11</v>
      </c>
      <c r="D264" s="1" t="n">
        <v>111.851959911</v>
      </c>
      <c r="E264" s="1" t="n">
        <v>308.054033894</v>
      </c>
      <c r="F264" s="1" t="n">
        <v>4302.738700904</v>
      </c>
      <c r="J264" s="1" t="n">
        <v>2425.539119099</v>
      </c>
      <c r="K264" s="1" t="n">
        <v>-2423.820330837</v>
      </c>
      <c r="L264" s="1" t="n">
        <v>78.71984746</v>
      </c>
      <c r="M264" s="1" t="n">
        <v>97.016083119</v>
      </c>
      <c r="O264" s="5" t="n">
        <v>45231</v>
      </c>
    </row>
    <row r="265" customFormat="false" ht="15" hidden="false" customHeight="false" outlineLevel="0" collapsed="false">
      <c r="A265" s="5" t="n">
        <v>45261</v>
      </c>
      <c r="B265" s="3" t="n">
        <f aca="false">YEAR(A265)</f>
        <v>2023</v>
      </c>
      <c r="C265" s="3" t="n">
        <f aca="false">MONTH(A265)</f>
        <v>12</v>
      </c>
      <c r="D265" s="1" t="n">
        <v>111.914549337</v>
      </c>
      <c r="E265" s="1" t="n">
        <v>308.672353299</v>
      </c>
      <c r="F265" s="1" t="n">
        <v>3568.481017733</v>
      </c>
      <c r="J265" s="1" t="n">
        <v>2355.413509107</v>
      </c>
      <c r="K265" s="1" t="n">
        <v>-2306.204954776</v>
      </c>
      <c r="L265" s="1" t="n">
        <v>77.24245521</v>
      </c>
      <c r="M265" s="1" t="n">
        <v>97.070370778</v>
      </c>
      <c r="O265" s="5" t="n">
        <v>45261</v>
      </c>
    </row>
    <row r="266" customFormat="false" ht="15" hidden="false" customHeight="false" outlineLevel="0" collapsed="false">
      <c r="A266" s="5" t="n">
        <v>45292</v>
      </c>
      <c r="B266" s="3" t="n">
        <f aca="false">YEAR(A266)</f>
        <v>2024</v>
      </c>
      <c r="C266" s="3" t="n">
        <f aca="false">MONTH(A266)</f>
        <v>1</v>
      </c>
      <c r="D266" s="1" t="n">
        <v>111.955506674</v>
      </c>
      <c r="E266" s="1" t="n">
        <v>309.823082424</v>
      </c>
      <c r="F266" s="1" t="n">
        <v>4108.062244856</v>
      </c>
      <c r="J266" s="1" t="n">
        <v>2195.460464458</v>
      </c>
      <c r="K266" s="1" t="n">
        <v>-2080.078445159</v>
      </c>
      <c r="L266" s="1" t="n">
        <v>76.860813732</v>
      </c>
      <c r="M266" s="1" t="n">
        <v>97.105895595</v>
      </c>
      <c r="O266" s="5" t="n">
        <v>45292</v>
      </c>
    </row>
    <row r="267" customFormat="false" ht="15" hidden="false" customHeight="false" outlineLevel="0" collapsed="false">
      <c r="A267" s="5" t="n">
        <v>45323</v>
      </c>
      <c r="B267" s="3" t="n">
        <f aca="false">YEAR(A267)</f>
        <v>2024</v>
      </c>
      <c r="C267" s="3" t="n">
        <f aca="false">MONTH(A267)</f>
        <v>2</v>
      </c>
      <c r="D267" s="1" t="n">
        <v>112.136488957</v>
      </c>
      <c r="E267" s="1" t="n">
        <v>310.975041472</v>
      </c>
      <c r="J267" s="1" t="n">
        <v>2173.003828463</v>
      </c>
      <c r="K267" s="1" t="n">
        <v>-2153.805525569</v>
      </c>
      <c r="L267" s="1" t="n">
        <v>77.497739218</v>
      </c>
      <c r="M267" s="1" t="n">
        <v>97.262872658</v>
      </c>
      <c r="O267" s="5" t="n">
        <v>45323</v>
      </c>
    </row>
    <row r="268" customFormat="false" ht="15" hidden="false" customHeight="false" outlineLevel="0" collapsed="false">
      <c r="D268" s="16"/>
      <c r="M268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C61" activePane="bottomRight" state="frozen"/>
      <selection pane="topLeft" activeCell="A1" activeCellId="0" sqref="A1"/>
      <selection pane="topRight" activeCell="C1" activeCellId="0" sqref="C1"/>
      <selection pane="bottomLeft" activeCell="A61" activeCellId="0" sqref="A61"/>
      <selection pane="bottomRight" activeCell="H15" activeCellId="0" sqref="H15:H82"/>
    </sheetView>
  </sheetViews>
  <sheetFormatPr defaultColWidth="11.4296875" defaultRowHeight="15" zeroHeight="false" outlineLevelRow="0" outlineLevelCol="0"/>
  <cols>
    <col collapsed="false" customWidth="true" hidden="false" outlineLevel="0" max="36" min="36" style="1" width="40"/>
  </cols>
  <sheetData>
    <row r="1" customFormat="false" ht="15" hidden="false" customHeight="false" outlineLevel="0" collapsed="false">
      <c r="A1" s="3" t="s">
        <v>95</v>
      </c>
      <c r="B1" s="3" t="s">
        <v>7</v>
      </c>
      <c r="C1" s="3" t="s">
        <v>10</v>
      </c>
      <c r="D1" s="3" t="s">
        <v>12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15</v>
      </c>
      <c r="J1" s="3" t="s">
        <v>17</v>
      </c>
      <c r="K1" s="3" t="s">
        <v>19</v>
      </c>
      <c r="L1" s="3" t="s">
        <v>21</v>
      </c>
      <c r="M1" s="3" t="s">
        <v>23</v>
      </c>
      <c r="N1" s="3" t="s">
        <v>25</v>
      </c>
      <c r="O1" s="3" t="s">
        <v>27</v>
      </c>
      <c r="P1" s="3" t="s">
        <v>29</v>
      </c>
      <c r="Q1" s="3" t="s">
        <v>91</v>
      </c>
      <c r="R1" s="3" t="s">
        <v>85</v>
      </c>
      <c r="S1" s="3"/>
      <c r="T1" s="3" t="s">
        <v>87</v>
      </c>
      <c r="U1" s="3" t="s">
        <v>89</v>
      </c>
      <c r="V1" s="3" t="s">
        <v>100</v>
      </c>
      <c r="W1" s="3" t="s">
        <v>101</v>
      </c>
      <c r="X1" s="3" t="s">
        <v>54</v>
      </c>
      <c r="Y1" s="3" t="s">
        <v>56</v>
      </c>
      <c r="Z1" s="3" t="s">
        <v>58</v>
      </c>
      <c r="AA1" s="3" t="s">
        <v>60</v>
      </c>
      <c r="AB1" s="3" t="s">
        <v>62</v>
      </c>
      <c r="AC1" s="3" t="s">
        <v>64</v>
      </c>
      <c r="AD1" s="3" t="s">
        <v>102</v>
      </c>
      <c r="AE1" s="3" t="s">
        <v>66</v>
      </c>
      <c r="AF1" s="3" t="s">
        <v>68</v>
      </c>
      <c r="AG1" s="3" t="s">
        <v>70</v>
      </c>
      <c r="AH1" s="3" t="s">
        <v>72</v>
      </c>
      <c r="AI1" s="3" t="s">
        <v>74</v>
      </c>
      <c r="AJ1" s="3" t="s">
        <v>76</v>
      </c>
      <c r="AK1" s="3" t="s">
        <v>78</v>
      </c>
      <c r="AL1" s="4" t="s">
        <v>80</v>
      </c>
      <c r="AM1" s="4" t="s">
        <v>82</v>
      </c>
      <c r="AN1" s="3" t="s">
        <v>84</v>
      </c>
      <c r="AQ1" s="3" t="s">
        <v>103</v>
      </c>
    </row>
    <row r="2" customFormat="false" ht="15" hidden="false" customHeight="false" outlineLevel="0" collapsed="false">
      <c r="A2" s="5" t="n">
        <v>36495</v>
      </c>
      <c r="Q2" s="3" t="n">
        <f aca="false">AVERAGE(Data!L3:L5)</f>
        <v>14.4236649572293</v>
      </c>
      <c r="R2" s="3" t="n">
        <f aca="false">AVERAGE(Data!M3:M5)</f>
        <v>76.7713451866587</v>
      </c>
      <c r="S2" s="3"/>
      <c r="T2" s="3"/>
      <c r="U2" s="3"/>
      <c r="AL2" s="4"/>
      <c r="AM2" s="4"/>
    </row>
    <row r="3" customFormat="false" ht="15" hidden="false" customHeight="false" outlineLevel="0" collapsed="false">
      <c r="A3" s="5" t="n">
        <v>36586</v>
      </c>
      <c r="Q3" s="3" t="n">
        <f aca="false">AVERAGE(Data!L6:L8)</f>
        <v>19.0856399833037</v>
      </c>
      <c r="R3" s="3" t="n">
        <f aca="false">AVERAGE(Data!M6:M8)</f>
        <v>77.5317586690939</v>
      </c>
      <c r="S3" s="3"/>
      <c r="T3" s="3" t="n">
        <v>11973785.1425696</v>
      </c>
      <c r="U3" s="3"/>
      <c r="AL3" s="4"/>
      <c r="AM3" s="4"/>
    </row>
    <row r="4" customFormat="false" ht="15" hidden="false" customHeight="false" outlineLevel="0" collapsed="false">
      <c r="A4" s="5" t="n">
        <v>36678</v>
      </c>
      <c r="Q4" s="3" t="n">
        <f aca="false">AVERAGE(Data!L9:L11)</f>
        <v>23.9465464864821</v>
      </c>
      <c r="R4" s="3" t="n">
        <f aca="false">AVERAGE(Data!M9:M11)</f>
        <v>78.3530052301239</v>
      </c>
      <c r="S4" s="3"/>
      <c r="T4" s="3" t="n">
        <v>12435932.463685</v>
      </c>
      <c r="U4" s="3"/>
      <c r="AL4" s="4"/>
      <c r="AM4" s="4"/>
    </row>
    <row r="5" customFormat="false" ht="15" hidden="false" customHeight="false" outlineLevel="0" collapsed="false">
      <c r="A5" s="5" t="n">
        <v>36770</v>
      </c>
      <c r="Q5" s="3" t="n">
        <f aca="false">AVERAGE(Data!L12:L14)</f>
        <v>26.3355367992226</v>
      </c>
      <c r="R5" s="3" t="n">
        <f aca="false">AVERAGE(Data!M12:M14)</f>
        <v>78.9765442857208</v>
      </c>
      <c r="S5" s="3"/>
      <c r="T5" s="3" t="n">
        <v>13192815.9620795</v>
      </c>
      <c r="U5" s="3"/>
      <c r="AL5" s="4"/>
      <c r="AM5" s="4"/>
    </row>
    <row r="6" customFormat="false" ht="15" hidden="false" customHeight="false" outlineLevel="0" collapsed="false">
      <c r="A6" s="5" t="n">
        <v>36861</v>
      </c>
      <c r="Q6" s="3" t="n">
        <f aca="false">AVERAGE(Data!L15:L17)</f>
        <v>28.458756471139</v>
      </c>
      <c r="R6" s="3" t="n">
        <f aca="false">AVERAGE(Data!M15:M17)</f>
        <v>79.4023758358845</v>
      </c>
      <c r="S6" s="3"/>
      <c r="T6" s="3" t="n">
        <v>14555506.3857369</v>
      </c>
      <c r="U6" s="3"/>
      <c r="AL6" s="4"/>
      <c r="AM6" s="4"/>
    </row>
    <row r="7" customFormat="false" ht="15" hidden="false" customHeight="false" outlineLevel="0" collapsed="false">
      <c r="A7" s="5" t="n">
        <v>36951</v>
      </c>
      <c r="Q7" s="3" t="n">
        <f aca="false">AVERAGE(Data!L18:L20)</f>
        <v>31.9944349451821</v>
      </c>
      <c r="R7" s="3" t="n">
        <f aca="false">AVERAGE(Data!M18:M20)</f>
        <v>80.1627893183197</v>
      </c>
      <c r="S7" s="3"/>
      <c r="T7" s="3" t="n">
        <v>12757885.0546245</v>
      </c>
      <c r="U7" s="3"/>
      <c r="AL7" s="4"/>
      <c r="AM7" s="4"/>
    </row>
    <row r="8" customFormat="false" ht="15" hidden="false" customHeight="false" outlineLevel="0" collapsed="false">
      <c r="A8" s="5" t="n">
        <v>37043</v>
      </c>
      <c r="Q8" s="3" t="n">
        <f aca="false">AVERAGE(Data!L21:L23)</f>
        <v>33.4195818597423</v>
      </c>
      <c r="R8" s="3" t="n">
        <f aca="false">AVERAGE(Data!M21:M23)</f>
        <v>80.9992441489985</v>
      </c>
      <c r="S8" s="3"/>
      <c r="T8" s="3" t="n">
        <v>13167470.5829581</v>
      </c>
      <c r="U8" s="3"/>
      <c r="AL8" s="4"/>
      <c r="AM8" s="4"/>
    </row>
    <row r="9" customFormat="false" ht="15" hidden="false" customHeight="false" outlineLevel="0" collapsed="false">
      <c r="A9" s="5" t="n">
        <v>37135</v>
      </c>
      <c r="Q9" s="3" t="n">
        <f aca="false">AVERAGE(Data!L24:L26)</f>
        <v>33.9531623023161</v>
      </c>
      <c r="R9" s="3" t="n">
        <f aca="false">AVERAGE(Data!M24:M26)</f>
        <v>81.1057020365394</v>
      </c>
      <c r="S9" s="3"/>
      <c r="T9" s="3" t="n">
        <v>13455244.3160867</v>
      </c>
      <c r="U9" s="3"/>
      <c r="AL9" s="4"/>
      <c r="AM9" s="4"/>
    </row>
    <row r="10" customFormat="false" ht="15" hidden="false" customHeight="false" outlineLevel="0" collapsed="false">
      <c r="A10" s="5" t="n">
        <v>37226</v>
      </c>
      <c r="Q10" s="3" t="n">
        <f aca="false">AVERAGE(Data!L27:L29)</f>
        <v>35.3171343890682</v>
      </c>
      <c r="R10" s="3" t="n">
        <f aca="false">AVERAGE(Data!M27:M29)</f>
        <v>80.8775779918088</v>
      </c>
      <c r="S10" s="3"/>
      <c r="T10" s="3" t="n">
        <v>14971349.2821417</v>
      </c>
      <c r="U10" s="3"/>
      <c r="AL10" s="4"/>
      <c r="AM10" s="4"/>
    </row>
    <row r="11" customFormat="false" ht="15" hidden="false" customHeight="false" outlineLevel="0" collapsed="false">
      <c r="A11" s="5" t="n">
        <v>37316</v>
      </c>
      <c r="B11" s="1" t="n">
        <v>58.202395342</v>
      </c>
      <c r="C11" s="1" t="n">
        <v>178.164148405333</v>
      </c>
      <c r="D11" s="17" t="n">
        <f aca="false">SUM(Data!C30:C32)</f>
        <v>533.7</v>
      </c>
      <c r="E11" s="17" t="n">
        <f aca="false">SUM(Data!D30:D32)</f>
        <v>1265.54</v>
      </c>
      <c r="F11" s="17" t="n">
        <f aca="false">SUM(Data!E30:E32)</f>
        <v>1436.29</v>
      </c>
      <c r="G11" s="17" t="n">
        <f aca="false">E11/F11</f>
        <v>0.881117323103273</v>
      </c>
      <c r="H11" s="17" t="n">
        <f aca="false">E11/O11</f>
        <v>0.208972436325279</v>
      </c>
      <c r="I11" s="1" t="n">
        <v>1548.579154666</v>
      </c>
      <c r="J11" s="1" t="n">
        <v>49.457657223</v>
      </c>
      <c r="K11" s="1" t="n">
        <v>1129.782463109</v>
      </c>
      <c r="L11" s="1" t="n">
        <v>1408.669784063</v>
      </c>
      <c r="M11" s="1" t="n">
        <v>-248.951861278</v>
      </c>
      <c r="N11" s="1" t="n">
        <v>21.5021706453333</v>
      </c>
      <c r="O11" s="1" t="n">
        <v>6056.014</v>
      </c>
      <c r="P11" s="1" t="n">
        <v>50.4825166106667</v>
      </c>
      <c r="Q11" s="3" t="n">
        <f aca="false">AVERAGE(Data!L30:L32)</f>
        <v>36.7008183647782</v>
      </c>
      <c r="R11" s="3" t="n">
        <f aca="false">AVERAGE(Data!M30:M32)</f>
        <v>81.1665351151342</v>
      </c>
      <c r="S11" s="3"/>
      <c r="T11" s="3" t="n">
        <v>13314494.7734983</v>
      </c>
      <c r="U11" s="3" t="n">
        <f aca="false">AB11+AE11+AG11</f>
        <v>1774.39344894063</v>
      </c>
      <c r="V11" s="3" t="n">
        <f aca="false">AC11+AF11+AH11</f>
        <v>2065.38664986463</v>
      </c>
      <c r="W11" s="3" t="n">
        <f aca="false">U11/V11</f>
        <v>0.859109575951276</v>
      </c>
      <c r="X11" s="1" t="n">
        <v>1151.59914914</v>
      </c>
      <c r="Y11" s="1" t="n">
        <v>1370.69456337</v>
      </c>
      <c r="Z11" s="1" t="n">
        <v>211.390386339001</v>
      </c>
      <c r="AA11" s="1" t="n">
        <v>380.463</v>
      </c>
      <c r="AB11" s="3" t="n">
        <f aca="false">X11+Z11</f>
        <v>1362.989535479</v>
      </c>
      <c r="AC11" s="3" t="n">
        <f aca="false">Y11+AA11</f>
        <v>1751.15756337</v>
      </c>
      <c r="AD11" s="3" t="n">
        <f aca="false">AB11/AC11</f>
        <v>0.778336321065255</v>
      </c>
      <c r="AE11" s="1" t="n">
        <v>23.4829030632</v>
      </c>
      <c r="AF11" s="1" t="n">
        <v>300.206004435403</v>
      </c>
      <c r="AG11" s="1" t="n">
        <v>387.921010398425</v>
      </c>
      <c r="AH11" s="1" t="n">
        <v>14.023082059225</v>
      </c>
      <c r="AI11" s="1" t="n">
        <v>7.023</v>
      </c>
      <c r="AJ11" s="1" t="n">
        <v>2</v>
      </c>
      <c r="AK11" s="1" t="n">
        <v>1436.28376882563</v>
      </c>
      <c r="AL11" s="1" t="n">
        <v>288.391</v>
      </c>
      <c r="AM11" s="1" t="n">
        <v>1094.11350898647</v>
      </c>
      <c r="AN11" s="1" t="n">
        <v>675.657923</v>
      </c>
      <c r="AQ11" s="3" t="n">
        <f aca="false">AG11-AH11</f>
        <v>373.8979283392</v>
      </c>
    </row>
    <row r="12" customFormat="false" ht="15" hidden="false" customHeight="false" outlineLevel="0" collapsed="false">
      <c r="A12" s="5" t="n">
        <v>37408</v>
      </c>
      <c r="B12" s="1" t="n">
        <v>59.7241407393333</v>
      </c>
      <c r="C12" s="1" t="n">
        <v>179.329143913333</v>
      </c>
      <c r="D12" s="17" t="n">
        <f aca="false">SUM(Data!C33:C35)</f>
        <v>539.5</v>
      </c>
      <c r="E12" s="17" t="n">
        <f aca="false">SUM(Data!D33:D35)</f>
        <v>1539.71</v>
      </c>
      <c r="F12" s="17" t="n">
        <f aca="false">SUM(Data!E33:E35)</f>
        <v>1695.06</v>
      </c>
      <c r="G12" s="17" t="n">
        <f aca="false">E12/F12</f>
        <v>0.908351326796692</v>
      </c>
      <c r="H12" s="17" t="n">
        <f aca="false">E12/O12</f>
        <v>0.239395279355389</v>
      </c>
      <c r="I12" s="1" t="n">
        <v>1601.071803024</v>
      </c>
      <c r="J12" s="1" t="n">
        <v>-19.173077446</v>
      </c>
      <c r="K12" s="1" t="n">
        <v>1267.900266295</v>
      </c>
      <c r="L12" s="1" t="n">
        <v>1653.019725985</v>
      </c>
      <c r="M12" s="1" t="n">
        <v>-370.961687523</v>
      </c>
      <c r="N12" s="1" t="n">
        <v>26.4979364756667</v>
      </c>
      <c r="O12" s="1" t="n">
        <v>6431.664</v>
      </c>
      <c r="P12" s="1" t="n">
        <v>51.8024199736667</v>
      </c>
      <c r="Q12" s="3" t="n">
        <f aca="false">AVERAGE(Data!L33:L35)</f>
        <v>37.8305135183562</v>
      </c>
      <c r="R12" s="3" t="n">
        <f aca="false">AVERAGE(Data!M33:M35)</f>
        <v>82.048614754759</v>
      </c>
      <c r="S12" s="3"/>
      <c r="T12" s="3" t="n">
        <v>13815663.8262544</v>
      </c>
      <c r="U12" s="3" t="n">
        <f aca="false">AB12+AE12+AG12</f>
        <v>2009.0828529218</v>
      </c>
      <c r="V12" s="3" t="n">
        <f aca="false">AC12+AF12+AH12</f>
        <v>2417.2060405285</v>
      </c>
      <c r="W12" s="3" t="n">
        <f aca="false">U12/V12</f>
        <v>0.831159123068605</v>
      </c>
      <c r="X12" s="1" t="n">
        <v>1355.46917108</v>
      </c>
      <c r="Y12" s="1" t="n">
        <v>1670.25165634</v>
      </c>
      <c r="Z12" s="1" t="n">
        <v>222.884335886526</v>
      </c>
      <c r="AA12" s="1" t="n">
        <v>406.129</v>
      </c>
      <c r="AB12" s="3" t="n">
        <f aca="false">X12+Z12</f>
        <v>1578.35350696653</v>
      </c>
      <c r="AC12" s="3" t="n">
        <f aca="false">Y12+AA12</f>
        <v>2076.38065634</v>
      </c>
      <c r="AD12" s="3" t="n">
        <f aca="false">AB12/AC12</f>
        <v>0.760146508852891</v>
      </c>
      <c r="AE12" s="1" t="n">
        <v>23.08354989605</v>
      </c>
      <c r="AF12" s="1" t="n">
        <v>326.399019669273</v>
      </c>
      <c r="AG12" s="1" t="n">
        <v>407.645796059225</v>
      </c>
      <c r="AH12" s="1" t="n">
        <v>14.426364519225</v>
      </c>
      <c r="AI12" s="1" t="n">
        <v>11.68</v>
      </c>
      <c r="AJ12" s="1" t="n">
        <v>2</v>
      </c>
      <c r="AK12" s="1" t="n">
        <v>1695.05810668931</v>
      </c>
      <c r="AL12" s="1" t="n">
        <v>322.31092247</v>
      </c>
      <c r="AM12" s="1" t="n">
        <v>1317.53222475249</v>
      </c>
      <c r="AN12" s="1" t="n">
        <v>798.22471284</v>
      </c>
      <c r="AQ12" s="3" t="n">
        <f aca="false">AG12-AH12</f>
        <v>393.21943154</v>
      </c>
    </row>
    <row r="13" customFormat="false" ht="15" hidden="false" customHeight="false" outlineLevel="0" collapsed="false">
      <c r="A13" s="5" t="n">
        <v>37500</v>
      </c>
      <c r="B13" s="1" t="n">
        <v>60.8188734166667</v>
      </c>
      <c r="C13" s="1" t="n">
        <v>180.332177423333</v>
      </c>
      <c r="D13" s="17" t="n">
        <f aca="false">SUM(Data!C36:C38)</f>
        <v>541.8</v>
      </c>
      <c r="E13" s="17" t="n">
        <f aca="false">SUM(Data!D36:D38)</f>
        <v>1485.6</v>
      </c>
      <c r="F13" s="17" t="n">
        <f aca="false">SUM(Data!E36:E38)</f>
        <v>1647.77</v>
      </c>
      <c r="G13" s="17" t="n">
        <f aca="false">E13/F13</f>
        <v>0.901582138283862</v>
      </c>
      <c r="H13" s="17" t="n">
        <f aca="false">E13/O13</f>
        <v>0.21710645728033</v>
      </c>
      <c r="I13" s="1" t="n">
        <v>1585.70141682</v>
      </c>
      <c r="J13" s="1" t="n">
        <v>78.904320831</v>
      </c>
      <c r="K13" s="1" t="n">
        <v>1295.010885813</v>
      </c>
      <c r="L13" s="1" t="n">
        <v>1605.65318998</v>
      </c>
      <c r="M13" s="1" t="n">
        <v>-348.044169232</v>
      </c>
      <c r="N13" s="1" t="n">
        <v>26.9536212836667</v>
      </c>
      <c r="O13" s="1" t="n">
        <v>6842.726</v>
      </c>
      <c r="P13" s="1" t="n">
        <v>52.7519489453333</v>
      </c>
      <c r="Q13" s="3" t="n">
        <f aca="false">AVERAGE(Data!L36:L38)</f>
        <v>38.1469233222017</v>
      </c>
      <c r="R13" s="3" t="n">
        <f aca="false">AVERAGE(Data!M36:M38)</f>
        <v>82.3984049566792</v>
      </c>
      <c r="S13" s="3"/>
      <c r="T13" s="3" t="n">
        <v>14177884.1575618</v>
      </c>
      <c r="U13" s="3" t="n">
        <f aca="false">AB13+AE13+AG13</f>
        <v>2050.24497257742</v>
      </c>
      <c r="V13" s="3" t="n">
        <f aca="false">AC13+AF13+AH13</f>
        <v>2380.41298383375</v>
      </c>
      <c r="W13" s="3" t="n">
        <f aca="false">U13/V13</f>
        <v>0.861298012782395</v>
      </c>
      <c r="X13" s="1" t="n">
        <v>1370.71060468</v>
      </c>
      <c r="Y13" s="1" t="n">
        <v>1605.00318689</v>
      </c>
      <c r="Z13" s="1" t="n">
        <v>228.027340262616</v>
      </c>
      <c r="AA13" s="1" t="n">
        <v>409.508011049984</v>
      </c>
      <c r="AB13" s="3" t="n">
        <f aca="false">X13+Z13</f>
        <v>1598.73794494262</v>
      </c>
      <c r="AC13" s="3" t="n">
        <f aca="false">Y13+AA13</f>
        <v>2014.51119793998</v>
      </c>
      <c r="AD13" s="3" t="n">
        <f aca="false">AB13/AC13</f>
        <v>0.793610850402553</v>
      </c>
      <c r="AE13" s="1" t="n">
        <v>18.8038231466667</v>
      </c>
      <c r="AF13" s="1" t="n">
        <v>351.177575774543</v>
      </c>
      <c r="AG13" s="1" t="n">
        <v>432.703204488139</v>
      </c>
      <c r="AH13" s="1" t="n">
        <v>14.724210119225</v>
      </c>
      <c r="AI13" s="1" t="n">
        <v>7.9061</v>
      </c>
      <c r="AJ13" s="1" t="n">
        <v>2</v>
      </c>
      <c r="AK13" s="1" t="n">
        <v>1647.76353310955</v>
      </c>
      <c r="AL13" s="1" t="n">
        <v>381.412681</v>
      </c>
      <c r="AM13" s="1" t="n">
        <v>1205.20899606524</v>
      </c>
      <c r="AN13" s="1" t="n">
        <v>724.6243902</v>
      </c>
      <c r="AQ13" s="3" t="n">
        <f aca="false">AG13-AH13</f>
        <v>417.978994368914</v>
      </c>
    </row>
    <row r="14" customFormat="false" ht="15" hidden="false" customHeight="false" outlineLevel="0" collapsed="false">
      <c r="A14" s="5" t="n">
        <v>37591</v>
      </c>
      <c r="B14" s="1" t="n">
        <v>61.8044605036667</v>
      </c>
      <c r="C14" s="1" t="n">
        <v>181.655631395333</v>
      </c>
      <c r="D14" s="17" t="n">
        <f aca="false">SUM(Data!C39:C41)</f>
        <v>543.5</v>
      </c>
      <c r="E14" s="17" t="n">
        <f aca="false">SUM(Data!D39:D41)</f>
        <v>1870.33</v>
      </c>
      <c r="F14" s="17" t="n">
        <f aca="false">SUM(Data!E39:E41)</f>
        <v>1581.77</v>
      </c>
      <c r="G14" s="17" t="n">
        <f aca="false">E14/F14</f>
        <v>1.1824285452373</v>
      </c>
      <c r="H14" s="17" t="n">
        <f aca="false">E14/O14</f>
        <v>0.242151719737735</v>
      </c>
      <c r="I14" s="1" t="n">
        <v>1656.653465281</v>
      </c>
      <c r="J14" s="1" t="n">
        <v>94.427914702</v>
      </c>
      <c r="K14" s="1" t="n">
        <v>1340.812248615</v>
      </c>
      <c r="L14" s="1" t="n">
        <v>1504.711579683</v>
      </c>
      <c r="M14" s="1" t="n">
        <v>-150.361592722</v>
      </c>
      <c r="N14" s="1" t="n">
        <v>29.342274417</v>
      </c>
      <c r="O14" s="1" t="n">
        <v>7723.794</v>
      </c>
      <c r="P14" s="1" t="n">
        <v>53.6068092346667</v>
      </c>
      <c r="Q14" s="3" t="n">
        <f aca="false">AVERAGE(Data!L39:L41)</f>
        <v>38.8195065679682</v>
      </c>
      <c r="R14" s="3" t="n">
        <f aca="false">AVERAGE(Data!M39:M41)</f>
        <v>82.6569455407072</v>
      </c>
      <c r="S14" s="3"/>
      <c r="T14" s="3" t="n">
        <v>15722422.909222</v>
      </c>
      <c r="U14" s="3" t="n">
        <f aca="false">AB14+AE14+AG14</f>
        <v>2100.09636547725</v>
      </c>
      <c r="V14" s="3" t="n">
        <f aca="false">AC14+AF14+AH14</f>
        <v>2289.83684103297</v>
      </c>
      <c r="W14" s="3" t="n">
        <f aca="false">U14/V14</f>
        <v>0.917137993347101</v>
      </c>
      <c r="X14" s="1" t="n">
        <v>1379.9037569</v>
      </c>
      <c r="Y14" s="1" t="n">
        <v>1513.73386991</v>
      </c>
      <c r="Z14" s="1" t="n">
        <v>221.620147772132</v>
      </c>
      <c r="AA14" s="1" t="n">
        <v>403.759532687939</v>
      </c>
      <c r="AB14" s="3" t="n">
        <f aca="false">X14+Z14</f>
        <v>1601.52390467213</v>
      </c>
      <c r="AC14" s="3" t="n">
        <f aca="false">Y14+AA14</f>
        <v>1917.49340259794</v>
      </c>
      <c r="AD14" s="3" t="n">
        <f aca="false">AB14/AC14</f>
        <v>0.835217426303678</v>
      </c>
      <c r="AE14" s="1" t="n">
        <v>17.3452957526067</v>
      </c>
      <c r="AF14" s="1" t="n">
        <v>357.69516629581</v>
      </c>
      <c r="AG14" s="1" t="n">
        <v>481.227165052507</v>
      </c>
      <c r="AH14" s="1" t="n">
        <v>14.648272139225</v>
      </c>
      <c r="AI14" s="1" t="n">
        <v>8.0124</v>
      </c>
      <c r="AJ14" s="1" t="n">
        <v>2</v>
      </c>
      <c r="AK14" s="1" t="n">
        <v>1581.77096644373</v>
      </c>
      <c r="AL14" s="1" t="n">
        <v>400.646681</v>
      </c>
      <c r="AM14" s="1" t="n">
        <v>1164.05774162793</v>
      </c>
      <c r="AN14" s="1" t="n">
        <v>707.7955075</v>
      </c>
      <c r="AQ14" s="3" t="n">
        <f aca="false">AG14-AH14</f>
        <v>466.578892913282</v>
      </c>
    </row>
    <row r="15" s="19" customFormat="true" ht="15" hidden="false" customHeight="false" outlineLevel="0" collapsed="false">
      <c r="A15" s="18" t="n">
        <v>37681</v>
      </c>
      <c r="B15" s="19" t="n">
        <v>63.8287355743333</v>
      </c>
      <c r="C15" s="19" t="n">
        <v>183.326844973</v>
      </c>
      <c r="D15" s="20" t="n">
        <f aca="false">SUM(Data!C42:C44)</f>
        <v>549</v>
      </c>
      <c r="E15" s="20" t="n">
        <f aca="false">SUM(Data!D42:D44)</f>
        <v>1371.55</v>
      </c>
      <c r="F15" s="20" t="n">
        <f aca="false">SUM(Data!E42:E44)</f>
        <v>1605.61</v>
      </c>
      <c r="G15" s="17" t="n">
        <f aca="false">E15/F15</f>
        <v>0.854223628402912</v>
      </c>
      <c r="H15" s="17" t="n">
        <f aca="false">E15/O15</f>
        <v>0.188768835766089</v>
      </c>
      <c r="I15" s="19" t="n">
        <v>1660.054216513</v>
      </c>
      <c r="J15" s="19" t="n">
        <v>129.039392722</v>
      </c>
      <c r="K15" s="19" t="n">
        <v>1578.27387266</v>
      </c>
      <c r="L15" s="19" t="n">
        <v>1558.140961378</v>
      </c>
      <c r="M15" s="19" t="n">
        <v>23.470857657</v>
      </c>
      <c r="N15" s="19" t="n">
        <v>34.2202867343333</v>
      </c>
      <c r="O15" s="19" t="n">
        <v>7265.765</v>
      </c>
      <c r="P15" s="19" t="n">
        <v>55.362587484</v>
      </c>
      <c r="Q15" s="21" t="n">
        <f aca="false">AVERAGE(Data!L42:L44)</f>
        <v>40.2469192168923</v>
      </c>
      <c r="R15" s="21" t="n">
        <f aca="false">AVERAGE(Data!M42:M44)</f>
        <v>83.493400371386</v>
      </c>
      <c r="S15" s="21" t="n">
        <f aca="false">Q15/R15</f>
        <v>0.482037131532198</v>
      </c>
      <c r="T15" s="21" t="n">
        <v>13903568.5575813</v>
      </c>
      <c r="U15" s="21" t="n">
        <f aca="false">AB15+AE15+AG15</f>
        <v>2245.76633071669</v>
      </c>
      <c r="V15" s="19" t="n">
        <f aca="false">AC15+AF15+AH15</f>
        <v>2311.12232700963</v>
      </c>
      <c r="W15" s="19" t="n">
        <f aca="false">U15/V15</f>
        <v>0.971721100380911</v>
      </c>
      <c r="X15" s="19" t="n">
        <v>1595.381173</v>
      </c>
      <c r="Y15" s="19" t="n">
        <v>1522.2151333</v>
      </c>
      <c r="Z15" s="19" t="n">
        <v>214.014483810443</v>
      </c>
      <c r="AA15" s="19" t="n">
        <v>414.200994313769</v>
      </c>
      <c r="AB15" s="21" t="n">
        <f aca="false">X15+Z15</f>
        <v>1809.39565681044</v>
      </c>
      <c r="AC15" s="21" t="n">
        <f aca="false">Y15+AA15</f>
        <v>1936.41612761377</v>
      </c>
      <c r="AD15" s="21" t="n">
        <f aca="false">AB15/AC15</f>
        <v>0.934404351940689</v>
      </c>
      <c r="AE15" s="19" t="n">
        <v>14.83402612</v>
      </c>
      <c r="AF15" s="19" t="n">
        <v>373.97457221034</v>
      </c>
      <c r="AG15" s="19" t="n">
        <v>421.53664778625</v>
      </c>
      <c r="AH15" s="19" t="n">
        <v>0.731627185524649</v>
      </c>
      <c r="AI15" s="19" t="n">
        <v>38.4813062128889</v>
      </c>
      <c r="AJ15" s="19" t="n">
        <v>2.25</v>
      </c>
      <c r="AK15" s="19" t="n">
        <v>1605.60095494332</v>
      </c>
      <c r="AL15" s="19" t="n">
        <v>433.8</v>
      </c>
      <c r="AM15" s="19" t="n">
        <v>1170.68818613276</v>
      </c>
      <c r="AN15" s="19" t="n">
        <v>742.474230349675</v>
      </c>
      <c r="AQ15" s="21" t="n">
        <f aca="false">AG15-AH15</f>
        <v>420.805020600725</v>
      </c>
    </row>
    <row r="16" customFormat="false" ht="15" hidden="false" customHeight="false" outlineLevel="0" collapsed="false">
      <c r="A16" s="5" t="n">
        <v>37773</v>
      </c>
      <c r="B16" s="1" t="n">
        <v>64.6333072776667</v>
      </c>
      <c r="C16" s="1" t="n">
        <v>183.128225779</v>
      </c>
      <c r="D16" s="17" t="n">
        <f aca="false">SUM(Data!C45:C47)</f>
        <v>551</v>
      </c>
      <c r="E16" s="17" t="n">
        <f aca="false">SUM(Data!D45:D47)</f>
        <v>1543.38</v>
      </c>
      <c r="F16" s="17" t="n">
        <f aca="false">SUM(Data!E45:E47)</f>
        <v>1729.48</v>
      </c>
      <c r="G16" s="17" t="n">
        <f aca="false">E16/F16</f>
        <v>0.892395402086176</v>
      </c>
      <c r="H16" s="17" t="n">
        <f aca="false">E16/O16</f>
        <v>0.213027297357469</v>
      </c>
      <c r="I16" s="1" t="n">
        <v>1629.444204746</v>
      </c>
      <c r="J16" s="1" t="n">
        <v>-22.178987085</v>
      </c>
      <c r="K16" s="1" t="n">
        <v>1398.053426663</v>
      </c>
      <c r="L16" s="1" t="n">
        <v>1518.039896111</v>
      </c>
      <c r="M16" s="1" t="n">
        <v>-124.022109163</v>
      </c>
      <c r="N16" s="1" t="n">
        <v>29.117719642</v>
      </c>
      <c r="O16" s="1" t="n">
        <v>7244.987</v>
      </c>
      <c r="P16" s="1" t="n">
        <v>56.0604419996667</v>
      </c>
      <c r="Q16" s="3" t="n">
        <f aca="false">AVERAGE(Data!L45:L47)</f>
        <v>40.9138381267511</v>
      </c>
      <c r="R16" s="3" t="n">
        <f aca="false">AVERAGE(Data!M45:M47)</f>
        <v>83.79756576436</v>
      </c>
      <c r="S16" s="3" t="n">
        <f aca="false">Q16/R16</f>
        <v>0.488246141204166</v>
      </c>
      <c r="T16" s="3" t="n">
        <v>13983215.3792329</v>
      </c>
      <c r="U16" s="3" t="n">
        <f aca="false">AB16+AE16+AG16</f>
        <v>2153.85448279678</v>
      </c>
      <c r="V16" s="3" t="n">
        <f aca="false">AC16+AF16+AH16</f>
        <v>2388.62158977754</v>
      </c>
      <c r="W16" s="3" t="n">
        <f aca="false">U16/V16</f>
        <v>0.901714399641418</v>
      </c>
      <c r="X16" s="1" t="n">
        <v>1491.923119</v>
      </c>
      <c r="Y16" s="1" t="n">
        <v>1549.95837363</v>
      </c>
      <c r="Z16" s="1" t="n">
        <v>222.950996338031</v>
      </c>
      <c r="AA16" s="1" t="n">
        <v>408.24909363479</v>
      </c>
      <c r="AB16" s="3" t="n">
        <f aca="false">X16+Z16</f>
        <v>1714.87411533803</v>
      </c>
      <c r="AC16" s="3" t="n">
        <f aca="false">Y16+AA16</f>
        <v>1958.20746726479</v>
      </c>
      <c r="AD16" s="3" t="n">
        <f aca="false">AB16/AC16</f>
        <v>0.875736684700398</v>
      </c>
      <c r="AE16" s="1" t="n">
        <v>14.80601491</v>
      </c>
      <c r="AF16" s="1" t="n">
        <v>429.186588482298</v>
      </c>
      <c r="AG16" s="1" t="n">
        <v>424.17435254875</v>
      </c>
      <c r="AH16" s="1" t="n">
        <v>1.22753403044902</v>
      </c>
      <c r="AI16" s="1" t="n">
        <v>17.3314808924802</v>
      </c>
      <c r="AJ16" s="1" t="n">
        <v>2.25</v>
      </c>
      <c r="AK16" s="1" t="n">
        <v>1729.47237047282</v>
      </c>
      <c r="AL16" s="1" t="n">
        <v>313.17</v>
      </c>
      <c r="AM16" s="1" t="n">
        <v>1345.13431386976</v>
      </c>
      <c r="AN16" s="1" t="n">
        <v>857.617811655523</v>
      </c>
      <c r="AQ16" s="3" t="n">
        <f aca="false">AG16-AH16</f>
        <v>422.946818518301</v>
      </c>
    </row>
    <row r="17" customFormat="false" ht="15" hidden="false" customHeight="false" outlineLevel="0" collapsed="false">
      <c r="A17" s="5" t="n">
        <v>37865</v>
      </c>
      <c r="B17" s="1" t="n">
        <v>65.3715583566667</v>
      </c>
      <c r="C17" s="1" t="n">
        <v>184.233688943333</v>
      </c>
      <c r="D17" s="17" t="n">
        <f aca="false">SUM(Data!C48:C50)</f>
        <v>553.7</v>
      </c>
      <c r="E17" s="17" t="n">
        <f aca="false">SUM(Data!D48:D50)</f>
        <v>1769.94</v>
      </c>
      <c r="F17" s="17" t="n">
        <f aca="false">SUM(Data!E48:E50)</f>
        <v>1821.85</v>
      </c>
      <c r="G17" s="17" t="n">
        <f aca="false">E17/F17</f>
        <v>0.971506984658452</v>
      </c>
      <c r="H17" s="17" t="n">
        <f aca="false">E17/O17</f>
        <v>0.23022528633127</v>
      </c>
      <c r="I17" s="1" t="n">
        <v>1823.331949692</v>
      </c>
      <c r="J17" s="1" t="n">
        <v>-15.561742255</v>
      </c>
      <c r="K17" s="1" t="n">
        <v>1518.801147408</v>
      </c>
      <c r="L17" s="1" t="n">
        <v>1563.724031685</v>
      </c>
      <c r="M17" s="1" t="n">
        <v>-69.908429088</v>
      </c>
      <c r="N17" s="1" t="n">
        <v>28.4453046186667</v>
      </c>
      <c r="O17" s="1" t="n">
        <v>7687.861</v>
      </c>
      <c r="P17" s="1" t="n">
        <v>56.7007725596667</v>
      </c>
      <c r="Q17" s="3" t="n">
        <f aca="false">AVERAGE(Data!L48:L50)</f>
        <v>41.0193080613667</v>
      </c>
      <c r="R17" s="3" t="n">
        <f aca="false">AVERAGE(Data!M48:M50)</f>
        <v>84.208189044875</v>
      </c>
      <c r="S17" s="3" t="n">
        <f aca="false">Q17/R17</f>
        <v>0.487117803228226</v>
      </c>
      <c r="T17" s="3" t="n">
        <v>14456706.330015</v>
      </c>
      <c r="U17" s="3" t="n">
        <f aca="false">AB17+AE17+AG17</f>
        <v>2278.91001819712</v>
      </c>
      <c r="V17" s="3" t="n">
        <f aca="false">AC17+AF17+AH17</f>
        <v>2404.37843847606</v>
      </c>
      <c r="W17" s="3" t="n">
        <f aca="false">U17/V17</f>
        <v>0.94781669213501</v>
      </c>
      <c r="X17" s="1" t="n">
        <v>1592.63641</v>
      </c>
      <c r="Y17" s="1" t="n">
        <v>1615.86397971</v>
      </c>
      <c r="Z17" s="1" t="n">
        <v>224.564632870448</v>
      </c>
      <c r="AA17" s="1" t="n">
        <v>401.945557829623</v>
      </c>
      <c r="AB17" s="3" t="n">
        <f aca="false">X17+Z17</f>
        <v>1817.20104287045</v>
      </c>
      <c r="AC17" s="3" t="n">
        <f aca="false">Y17+AA17</f>
        <v>2017.80953753962</v>
      </c>
      <c r="AD17" s="3" t="n">
        <f aca="false">AB17/AC17</f>
        <v>0.900581055378605</v>
      </c>
      <c r="AE17" s="1" t="n">
        <v>15.0903066666667</v>
      </c>
      <c r="AF17" s="1" t="n">
        <v>367.702976242658</v>
      </c>
      <c r="AG17" s="1" t="n">
        <v>446.61866866</v>
      </c>
      <c r="AH17" s="1" t="n">
        <v>18.8659246937745</v>
      </c>
      <c r="AI17" s="1" t="n">
        <v>6.09760305581659</v>
      </c>
      <c r="AJ17" s="1" t="n">
        <v>2.25</v>
      </c>
      <c r="AK17" s="1" t="n">
        <v>1821.84734096073</v>
      </c>
      <c r="AL17" s="1" t="n">
        <v>460.2</v>
      </c>
      <c r="AM17" s="1" t="n">
        <v>1315.34546667583</v>
      </c>
      <c r="AN17" s="1" t="n">
        <v>793.843031196403</v>
      </c>
      <c r="AQ17" s="3" t="n">
        <f aca="false">AG17-AH17</f>
        <v>427.752743966226</v>
      </c>
    </row>
    <row r="18" customFormat="false" ht="15" hidden="false" customHeight="false" outlineLevel="0" collapsed="false">
      <c r="A18" s="5" t="n">
        <v>37956</v>
      </c>
      <c r="B18" s="1" t="n">
        <v>65.7864311476667</v>
      </c>
      <c r="C18" s="1" t="n">
        <v>185.116832075333</v>
      </c>
      <c r="D18" s="17" t="n">
        <f aca="false">SUM(Data!C51:C53)</f>
        <v>553.8</v>
      </c>
      <c r="E18" s="17" t="n">
        <f aca="false">SUM(Data!D51:D53)</f>
        <v>1901.69</v>
      </c>
      <c r="F18" s="17" t="n">
        <f aca="false">SUM(Data!E51:E53)</f>
        <v>1753.32</v>
      </c>
      <c r="G18" s="17" t="n">
        <f aca="false">E18/F18</f>
        <v>1.08462231651952</v>
      </c>
      <c r="H18" s="17" t="n">
        <f aca="false">E18/O18</f>
        <v>0.216924562281643</v>
      </c>
      <c r="I18" s="1" t="n">
        <v>1772.929781624</v>
      </c>
      <c r="J18" s="1" t="n">
        <v>250.498751049</v>
      </c>
      <c r="K18" s="1" t="n">
        <v>1741.353268444</v>
      </c>
      <c r="L18" s="1" t="n">
        <v>1603.914816385</v>
      </c>
      <c r="M18" s="1" t="n">
        <v>180.888731583</v>
      </c>
      <c r="N18" s="1" t="n">
        <v>32.5009186753333</v>
      </c>
      <c r="O18" s="1" t="n">
        <v>8766.596</v>
      </c>
      <c r="P18" s="1" t="n">
        <v>57.0606172436667</v>
      </c>
      <c r="Q18" s="3" t="n">
        <f aca="false">AVERAGE(Data!L51:L53)</f>
        <v>41.3305066761753</v>
      </c>
      <c r="R18" s="3" t="n">
        <f aca="false">AVERAGE(Data!M51:M53)</f>
        <v>84.2233973145238</v>
      </c>
      <c r="S18" s="3" t="n">
        <f aca="false">Q18/R18</f>
        <v>0.490724762880684</v>
      </c>
      <c r="T18" s="3" t="n">
        <v>16332019.7770848</v>
      </c>
      <c r="U18" s="3" t="n">
        <f aca="false">AB18+AE18+AG18</f>
        <v>2502.29586959957</v>
      </c>
      <c r="V18" s="3" t="n">
        <f aca="false">AC18+AF18+AH18</f>
        <v>2463.52284434846</v>
      </c>
      <c r="W18" s="3" t="n">
        <f aca="false">U18/V18</f>
        <v>1.01573885354465</v>
      </c>
      <c r="X18" s="1" t="n">
        <v>1765.88621</v>
      </c>
      <c r="Y18" s="1" t="n">
        <v>1678.28919336</v>
      </c>
      <c r="Z18" s="1" t="n">
        <v>219.621890332901</v>
      </c>
      <c r="AA18" s="1" t="n">
        <v>400.082805308224</v>
      </c>
      <c r="AB18" s="3" t="n">
        <f aca="false">X18+Z18</f>
        <v>1985.5081003329</v>
      </c>
      <c r="AC18" s="3" t="n">
        <f aca="false">Y18+AA18</f>
        <v>2078.37199866822</v>
      </c>
      <c r="AD18" s="3" t="n">
        <f aca="false">AB18/AC18</f>
        <v>0.955318923467585</v>
      </c>
      <c r="AE18" s="1" t="n">
        <v>17.8401470666667</v>
      </c>
      <c r="AF18" s="1" t="n">
        <v>384.124455630233</v>
      </c>
      <c r="AG18" s="1" t="n">
        <v>498.9476222</v>
      </c>
      <c r="AH18" s="1" t="n">
        <v>1.02639005</v>
      </c>
      <c r="AI18" s="1" t="n">
        <v>7.69148742708751</v>
      </c>
      <c r="AJ18" s="1" t="n">
        <v>2.25</v>
      </c>
      <c r="AK18" s="1" t="n">
        <v>1753.32220182604</v>
      </c>
      <c r="AL18" s="1" t="n">
        <v>456.4827372926</v>
      </c>
      <c r="AM18" s="1" t="n">
        <v>1324.70466345461</v>
      </c>
      <c r="AN18" s="1" t="n">
        <v>769.581415072474</v>
      </c>
      <c r="AQ18" s="3" t="n">
        <f aca="false">AG18-AH18</f>
        <v>497.92123215</v>
      </c>
    </row>
    <row r="19" customFormat="false" ht="15" hidden="false" customHeight="false" outlineLevel="0" collapsed="false">
      <c r="A19" s="5" t="n">
        <v>38047</v>
      </c>
      <c r="B19" s="1" t="n">
        <v>66.3265336716667</v>
      </c>
      <c r="C19" s="1" t="n">
        <v>186.712854747667</v>
      </c>
      <c r="D19" s="17" t="n">
        <f aca="false">SUM(Data!C54:C56)</f>
        <v>558.8</v>
      </c>
      <c r="E19" s="17" t="n">
        <f aca="false">SUM(Data!D54:D56)</f>
        <v>1632.95</v>
      </c>
      <c r="F19" s="17" t="n">
        <f aca="false">SUM(Data!E54:E56)</f>
        <v>1842.54</v>
      </c>
      <c r="G19" s="17" t="n">
        <f aca="false">E19/F19</f>
        <v>0.886249416566262</v>
      </c>
      <c r="H19" s="17" t="n">
        <f aca="false">E19/O19</f>
        <v>0.202026287975579</v>
      </c>
      <c r="I19" s="1" t="n">
        <v>1918.760832322</v>
      </c>
      <c r="J19" s="1" t="n">
        <v>118.212208241</v>
      </c>
      <c r="K19" s="1" t="n">
        <v>1739.488222793</v>
      </c>
      <c r="L19" s="1" t="n">
        <v>1660.724825644</v>
      </c>
      <c r="M19" s="1" t="n">
        <v>67.673951507</v>
      </c>
      <c r="N19" s="1" t="n">
        <v>36.038825448</v>
      </c>
      <c r="O19" s="1" t="n">
        <v>8082.859</v>
      </c>
      <c r="P19" s="1" t="n">
        <v>57.529081375</v>
      </c>
      <c r="Q19" s="3" t="n">
        <f aca="false">AVERAGE(Data!L54:L56)</f>
        <v>41.8219444595899</v>
      </c>
      <c r="R19" s="3" t="n">
        <f aca="false">AVERAGE(Data!M54:M56)</f>
        <v>84.983810796959</v>
      </c>
      <c r="S19" s="3" t="n">
        <f aca="false">Q19/R19</f>
        <v>0.492116605120353</v>
      </c>
      <c r="T19" s="3" t="n">
        <v>14557302.5409599</v>
      </c>
      <c r="U19" s="3" t="n">
        <f aca="false">AB19+AE19+AG19</f>
        <v>2467.87553473959</v>
      </c>
      <c r="V19" s="3" t="n">
        <f aca="false">AC19+AF19+AH19</f>
        <v>2495.78733645325</v>
      </c>
      <c r="W19" s="3" t="n">
        <f aca="false">U19/V19</f>
        <v>0.988816434274676</v>
      </c>
      <c r="X19" s="1" t="n">
        <v>1743.61094</v>
      </c>
      <c r="Y19" s="1" t="n">
        <v>1600.86217667</v>
      </c>
      <c r="Z19" s="1" t="n">
        <v>238.213426352925</v>
      </c>
      <c r="AA19" s="1" t="n">
        <v>465.942809644269</v>
      </c>
      <c r="AB19" s="3" t="n">
        <f aca="false">X19+Z19</f>
        <v>1981.82436635293</v>
      </c>
      <c r="AC19" s="3" t="n">
        <f aca="false">Y19+AA19</f>
        <v>2066.80498631427</v>
      </c>
      <c r="AD19" s="3" t="n">
        <f aca="false">AB19/AC19</f>
        <v>0.958883097087505</v>
      </c>
      <c r="AE19" s="1" t="n">
        <v>17.0302224566667</v>
      </c>
      <c r="AF19" s="1" t="n">
        <v>427.860451938979</v>
      </c>
      <c r="AG19" s="1" t="n">
        <v>469.02094593</v>
      </c>
      <c r="AH19" s="1" t="n">
        <v>1.1218982</v>
      </c>
      <c r="AI19" s="1" t="n">
        <v>5.39678880622222</v>
      </c>
      <c r="AJ19" s="1" t="n">
        <v>2.5</v>
      </c>
      <c r="AK19" s="1" t="n">
        <v>1842.54856752177</v>
      </c>
      <c r="AL19" s="1" t="n">
        <v>429.859254798378</v>
      </c>
      <c r="AM19" s="1" t="n">
        <v>1315.7296417234</v>
      </c>
      <c r="AN19" s="1" t="n">
        <v>806.253622861775</v>
      </c>
      <c r="AQ19" s="3" t="n">
        <f aca="false">AG19-AH19</f>
        <v>467.89904773</v>
      </c>
    </row>
    <row r="20" customFormat="false" ht="15" hidden="false" customHeight="false" outlineLevel="0" collapsed="false">
      <c r="A20" s="5" t="n">
        <v>38139</v>
      </c>
      <c r="B20" s="1" t="n">
        <v>66.7160085983333</v>
      </c>
      <c r="C20" s="1" t="n">
        <v>188.316221221667</v>
      </c>
      <c r="D20" s="17" t="n">
        <f aca="false">SUM(Data!C57:C59)</f>
        <v>566.8</v>
      </c>
      <c r="E20" s="17" t="n">
        <f aca="false">SUM(Data!D57:D59)</f>
        <v>1861.73</v>
      </c>
      <c r="F20" s="17" t="n">
        <f aca="false">SUM(Data!E57:E59)</f>
        <v>2046.84</v>
      </c>
      <c r="G20" s="17" t="n">
        <f aca="false">E20/F20</f>
        <v>0.909563033749585</v>
      </c>
      <c r="H20" s="17" t="n">
        <f aca="false">E20/O20</f>
        <v>0.223640929054101</v>
      </c>
      <c r="I20" s="1" t="n">
        <v>1936.344153551</v>
      </c>
      <c r="J20" s="1" t="n">
        <v>-74.062392787</v>
      </c>
      <c r="K20" s="1" t="n">
        <v>1932.157240189</v>
      </c>
      <c r="L20" s="1" t="n">
        <v>1832.024352379</v>
      </c>
      <c r="M20" s="1" t="n">
        <v>93.511675951</v>
      </c>
      <c r="N20" s="1" t="n">
        <v>38.1157484706667</v>
      </c>
      <c r="O20" s="1" t="n">
        <v>8324.639</v>
      </c>
      <c r="P20" s="1" t="n">
        <v>57.86689693</v>
      </c>
      <c r="Q20" s="3" t="n">
        <f aca="false">AVERAGE(Data!L57:L59)</f>
        <v>42.2090451755715</v>
      </c>
      <c r="R20" s="3" t="n">
        <f aca="false">AVERAGE(Data!M57:M59)</f>
        <v>86.2004723688553</v>
      </c>
      <c r="S20" s="3" t="n">
        <f aca="false">Q20/R20</f>
        <v>0.48966141386044</v>
      </c>
      <c r="T20" s="3" t="n">
        <v>15036627.7095329</v>
      </c>
      <c r="U20" s="3" t="n">
        <f aca="false">AB20+AE20+AG20</f>
        <v>2814.74352662214</v>
      </c>
      <c r="V20" s="3" t="n">
        <f aca="false">AC20+AF20+AH20</f>
        <v>2819.26822214196</v>
      </c>
      <c r="W20" s="3" t="n">
        <f aca="false">U20/V20</f>
        <v>0.998395081573199</v>
      </c>
      <c r="X20" s="1" t="n">
        <v>2040.80129</v>
      </c>
      <c r="Y20" s="1" t="n">
        <v>1825.22466326</v>
      </c>
      <c r="Z20" s="1" t="n">
        <v>261.15231513481</v>
      </c>
      <c r="AA20" s="1" t="n">
        <v>482.257153090774</v>
      </c>
      <c r="AB20" s="3" t="n">
        <f aca="false">X20+Z20</f>
        <v>2301.95360513481</v>
      </c>
      <c r="AC20" s="3" t="n">
        <f aca="false">Y20+AA20</f>
        <v>2307.48181635077</v>
      </c>
      <c r="AD20" s="3" t="n">
        <f aca="false">AB20/AC20</f>
        <v>0.997604223280638</v>
      </c>
      <c r="AE20" s="1" t="n">
        <v>22.1325831933333</v>
      </c>
      <c r="AF20" s="1" t="n">
        <v>509.015483703181</v>
      </c>
      <c r="AG20" s="1" t="n">
        <v>490.657338294</v>
      </c>
      <c r="AH20" s="1" t="n">
        <v>2.770922088</v>
      </c>
      <c r="AI20" s="1" t="n">
        <v>5.61655011489614</v>
      </c>
      <c r="AJ20" s="1" t="n">
        <v>2.5</v>
      </c>
      <c r="AK20" s="1" t="n">
        <v>2046.84973291717</v>
      </c>
      <c r="AL20" s="1" t="n">
        <v>500.9802</v>
      </c>
      <c r="AM20" s="1" t="n">
        <v>1486.83940198834</v>
      </c>
      <c r="AN20" s="1" t="n">
        <v>974.155784895835</v>
      </c>
      <c r="AQ20" s="3" t="n">
        <f aca="false">AG20-AH20</f>
        <v>487.886416206</v>
      </c>
    </row>
    <row r="21" customFormat="false" ht="15" hidden="false" customHeight="false" outlineLevel="0" collapsed="false">
      <c r="A21" s="5" t="n">
        <v>38231</v>
      </c>
      <c r="B21" s="1" t="n">
        <v>66.6408673523333</v>
      </c>
      <c r="C21" s="1" t="n">
        <v>189.162261457333</v>
      </c>
      <c r="D21" s="17" t="n">
        <f aca="false">SUM(Data!C60:C62)</f>
        <v>568.8</v>
      </c>
      <c r="E21" s="17" t="n">
        <f aca="false">SUM(Data!D60:D62)</f>
        <v>1835.44</v>
      </c>
      <c r="F21" s="17" t="n">
        <f aca="false">SUM(Data!E60:E62)</f>
        <v>2167.83</v>
      </c>
      <c r="G21" s="17" t="n">
        <f aca="false">E21/F21</f>
        <v>0.846671556348976</v>
      </c>
      <c r="H21" s="17" t="n">
        <f aca="false">E21/O21</f>
        <v>0.208182385300289</v>
      </c>
      <c r="I21" s="1" t="n">
        <v>2135.484942472</v>
      </c>
      <c r="J21" s="1" t="n">
        <v>282.152730383</v>
      </c>
      <c r="K21" s="1" t="n">
        <v>2002.396319513</v>
      </c>
      <c r="L21" s="1" t="n">
        <v>1896.695207895</v>
      </c>
      <c r="M21" s="1" t="n">
        <v>92.091341931</v>
      </c>
      <c r="N21" s="1" t="n">
        <v>41.4824427493333</v>
      </c>
      <c r="O21" s="1" t="n">
        <v>8816.5</v>
      </c>
      <c r="P21" s="1" t="n">
        <v>57.801722307</v>
      </c>
      <c r="Q21" s="3" t="n">
        <f aca="false">AVERAGE(Data!L60:L62)</f>
        <v>41.8357654392062</v>
      </c>
      <c r="R21" s="3" t="n">
        <f aca="false">AVERAGE(Data!M60:M62)</f>
        <v>86.5046377618294</v>
      </c>
      <c r="S21" s="3" t="n">
        <f aca="false">Q21/R21</f>
        <v>0.483624537616022</v>
      </c>
      <c r="T21" s="3" t="n">
        <v>15584558.4624754</v>
      </c>
      <c r="U21" s="3" t="n">
        <f aca="false">AB21+AE21+AG21</f>
        <v>2894.66995137173</v>
      </c>
      <c r="V21" s="3" t="n">
        <f aca="false">AC21+AF21+AH21</f>
        <v>2903.63708812044</v>
      </c>
      <c r="W21" s="3" t="n">
        <f aca="false">U21/V21</f>
        <v>0.996911757056211</v>
      </c>
      <c r="X21" s="1" t="n">
        <v>2092.666203</v>
      </c>
      <c r="Y21" s="1" t="n">
        <v>1963.35822706</v>
      </c>
      <c r="Z21" s="1" t="n">
        <v>262.830163037787</v>
      </c>
      <c r="AA21" s="1" t="n">
        <v>499.050772756854</v>
      </c>
      <c r="AB21" s="3" t="n">
        <f aca="false">X21+Z21</f>
        <v>2355.49636603779</v>
      </c>
      <c r="AC21" s="3" t="n">
        <f aca="false">Y21+AA21</f>
        <v>2462.40899981685</v>
      </c>
      <c r="AD21" s="3" t="n">
        <f aca="false">AB21/AC21</f>
        <v>0.956582097536592</v>
      </c>
      <c r="AE21" s="1" t="n">
        <v>26.4545517633333</v>
      </c>
      <c r="AF21" s="1" t="n">
        <v>427.348806767154</v>
      </c>
      <c r="AG21" s="1" t="n">
        <v>512.719033570608</v>
      </c>
      <c r="AH21" s="1" t="n">
        <v>13.8792815364334</v>
      </c>
      <c r="AI21" s="1" t="n">
        <v>6.01451958425331</v>
      </c>
      <c r="AJ21" s="1" t="n">
        <v>2.5</v>
      </c>
      <c r="AK21" s="1" t="n">
        <v>2167.8269266544</v>
      </c>
      <c r="AL21" s="1" t="n">
        <v>610.854215</v>
      </c>
      <c r="AM21" s="1" t="n">
        <v>1499.1849716544</v>
      </c>
      <c r="AN21" s="1" t="n">
        <v>911.101485853591</v>
      </c>
      <c r="AQ21" s="3" t="n">
        <f aca="false">AG21-AH21</f>
        <v>498.839752034175</v>
      </c>
    </row>
    <row r="22" customFormat="false" ht="15" hidden="false" customHeight="false" outlineLevel="0" collapsed="false">
      <c r="A22" s="5" t="n">
        <v>38322</v>
      </c>
      <c r="B22" s="1" t="n">
        <v>67.0579852426667</v>
      </c>
      <c r="C22" s="1" t="n">
        <v>191.299575175</v>
      </c>
      <c r="D22" s="17" t="n">
        <f aca="false">SUM(Data!C63:C65)</f>
        <v>572.2</v>
      </c>
      <c r="E22" s="17" t="n">
        <f aca="false">SUM(Data!D63:D65)</f>
        <v>2163.01</v>
      </c>
      <c r="F22" s="17" t="n">
        <f aca="false">SUM(Data!E63:E65)</f>
        <v>2119.25</v>
      </c>
      <c r="G22" s="17" t="n">
        <f aca="false">E22/F22</f>
        <v>1.02064881443907</v>
      </c>
      <c r="H22" s="17" t="n">
        <f aca="false">E22/O22</f>
        <v>0.216931185092694</v>
      </c>
      <c r="I22" s="1" t="n">
        <v>2197.475290207</v>
      </c>
      <c r="J22" s="1" t="n">
        <v>399.840558661</v>
      </c>
      <c r="K22" s="1" t="n">
        <v>2071.699403947</v>
      </c>
      <c r="L22" s="1" t="n">
        <v>2113.537959206</v>
      </c>
      <c r="M22" s="1" t="n">
        <v>-14.101187328</v>
      </c>
      <c r="N22" s="1" t="n">
        <v>49.8275481886667</v>
      </c>
      <c r="O22" s="1" t="n">
        <v>9970.95</v>
      </c>
      <c r="P22" s="1" t="n">
        <v>58.163514304</v>
      </c>
      <c r="Q22" s="3" t="n">
        <f aca="false">AVERAGE(Data!L63:L65)</f>
        <v>42.1292913259825</v>
      </c>
      <c r="R22" s="3" t="n">
        <f aca="false">AVERAGE(Data!M63:M65)</f>
        <v>87.0217189298853</v>
      </c>
      <c r="S22" s="3" t="n">
        <f aca="false">Q22/R22</f>
        <v>0.484123869811474</v>
      </c>
      <c r="T22" s="3" t="n">
        <v>17505965.1138244</v>
      </c>
      <c r="U22" s="3" t="n">
        <f aca="false">AB22+AE22+AG22</f>
        <v>2953.23604239354</v>
      </c>
      <c r="V22" s="3" t="n">
        <f aca="false">AC22+AF22+AH22</f>
        <v>3391.25512410879</v>
      </c>
      <c r="W22" s="3" t="n">
        <f aca="false">U22/V22</f>
        <v>0.870838652450142</v>
      </c>
      <c r="X22" s="1" t="n">
        <v>2090.67520766667</v>
      </c>
      <c r="Y22" s="1" t="n">
        <v>2294.30241794</v>
      </c>
      <c r="Z22" s="1" t="n">
        <v>251.753979660862</v>
      </c>
      <c r="AA22" s="1" t="n">
        <v>520.315568862869</v>
      </c>
      <c r="AB22" s="3" t="n">
        <f aca="false">X22+Z22</f>
        <v>2342.42918732753</v>
      </c>
      <c r="AC22" s="3" t="n">
        <f aca="false">Y22+AA22</f>
        <v>2814.61798680287</v>
      </c>
      <c r="AD22" s="3" t="n">
        <f aca="false">AB22/AC22</f>
        <v>0.832236985022718</v>
      </c>
      <c r="AE22" s="1" t="n">
        <v>34.5067737966667</v>
      </c>
      <c r="AF22" s="1" t="n">
        <v>575.931985828186</v>
      </c>
      <c r="AG22" s="1" t="n">
        <v>576.300081269344</v>
      </c>
      <c r="AH22" s="1" t="n">
        <v>0.705151477739197</v>
      </c>
      <c r="AI22" s="1" t="n">
        <v>6.82269071647779</v>
      </c>
      <c r="AJ22" s="1" t="n">
        <v>2.5</v>
      </c>
      <c r="AK22" s="1" t="n">
        <v>2119.25134426349</v>
      </c>
      <c r="AL22" s="1" t="n">
        <v>573.692</v>
      </c>
      <c r="AM22" s="1" t="n">
        <v>1522.99863206412</v>
      </c>
      <c r="AN22" s="1" t="n">
        <v>903.357887560674</v>
      </c>
      <c r="AQ22" s="3" t="n">
        <f aca="false">AG22-AH22</f>
        <v>575.594929791605</v>
      </c>
    </row>
    <row r="23" customFormat="false" ht="15" hidden="false" customHeight="false" outlineLevel="0" collapsed="false">
      <c r="A23" s="5" t="n">
        <v>38412</v>
      </c>
      <c r="B23" s="1" t="n">
        <v>67.2275542226667</v>
      </c>
      <c r="C23" s="1" t="n">
        <v>192.551429622333</v>
      </c>
      <c r="D23" s="17" t="n">
        <f aca="false">SUM(Data!C66:C68)</f>
        <v>575.8</v>
      </c>
      <c r="E23" s="17" t="n">
        <f aca="false">SUM(Data!D66:D68)</f>
        <v>1959.28</v>
      </c>
      <c r="F23" s="17" t="n">
        <f aca="false">SUM(Data!E66:E68)</f>
        <v>2012.59</v>
      </c>
      <c r="G23" s="17" t="n">
        <f aca="false">E23/F23</f>
        <v>0.9735117435742</v>
      </c>
      <c r="H23" s="17" t="n">
        <f aca="false">E23/O23</f>
        <v>0.216345569889177</v>
      </c>
      <c r="I23" s="1" t="n">
        <v>2129.924841759</v>
      </c>
      <c r="J23" s="1" t="n">
        <v>-53.038595272</v>
      </c>
      <c r="K23" s="1" t="n">
        <v>2294.531774874</v>
      </c>
      <c r="L23" s="1" t="n">
        <v>2297.297763243</v>
      </c>
      <c r="M23" s="1" t="n">
        <v>43.667282602</v>
      </c>
      <c r="N23" s="1" t="n">
        <v>51.6888967676667</v>
      </c>
      <c r="O23" s="1" t="n">
        <v>9056.252</v>
      </c>
      <c r="P23" s="1" t="n">
        <v>58.310591907</v>
      </c>
      <c r="Q23" s="3" t="n">
        <f aca="false">AVERAGE(Data!L66:L68)</f>
        <v>42.3869689840126</v>
      </c>
      <c r="R23" s="3" t="n">
        <f aca="false">AVERAGE(Data!M66:M68)</f>
        <v>87.5692166372387</v>
      </c>
      <c r="S23" s="3" t="n">
        <f aca="false">Q23/R23</f>
        <v>0.484039604460588</v>
      </c>
      <c r="T23" s="3" t="n">
        <v>15482339.4409114</v>
      </c>
      <c r="U23" s="3" t="n">
        <f aca="false">AB23+AE23+AG23</f>
        <v>3275.01747552059</v>
      </c>
      <c r="V23" s="3" t="n">
        <f aca="false">AC23+AF23+AH23</f>
        <v>3257.48680597106</v>
      </c>
      <c r="W23" s="3" t="n">
        <f aca="false">U23/V23</f>
        <v>1.00538165481358</v>
      </c>
      <c r="X23" s="1" t="n">
        <v>2305.31759500381</v>
      </c>
      <c r="Y23" s="1" t="n">
        <v>2218.2728764558</v>
      </c>
      <c r="Z23" s="1" t="n">
        <v>261.551884937026</v>
      </c>
      <c r="AA23" s="1" t="n">
        <v>522.823512592601</v>
      </c>
      <c r="AB23" s="3" t="n">
        <f aca="false">X23+Z23</f>
        <v>2566.86947994084</v>
      </c>
      <c r="AC23" s="3" t="n">
        <f aca="false">Y23+AA23</f>
        <v>2741.0963890484</v>
      </c>
      <c r="AD23" s="3" t="n">
        <f aca="false">AB23/AC23</f>
        <v>0.936438970258886</v>
      </c>
      <c r="AE23" s="1" t="n">
        <v>39.8978745733333</v>
      </c>
      <c r="AF23" s="1" t="n">
        <v>497.160856709354</v>
      </c>
      <c r="AG23" s="1" t="n">
        <v>668.250121006417</v>
      </c>
      <c r="AH23" s="1" t="n">
        <v>19.2295602133018</v>
      </c>
      <c r="AI23" s="1" t="n">
        <v>7.029</v>
      </c>
      <c r="AJ23" s="1" t="n">
        <v>2.5</v>
      </c>
      <c r="AK23" s="1" t="n">
        <v>2012.59140598133</v>
      </c>
      <c r="AL23" s="1" t="n">
        <v>431.944999572365</v>
      </c>
      <c r="AM23" s="1" t="n">
        <v>1494.00550640896</v>
      </c>
      <c r="AN23" s="1" t="n">
        <v>926.919393654661</v>
      </c>
      <c r="AQ23" s="3" t="n">
        <f aca="false">AG23-AH23</f>
        <v>649.020560793115</v>
      </c>
    </row>
    <row r="24" customFormat="false" ht="15" hidden="false" customHeight="false" outlineLevel="0" collapsed="false">
      <c r="A24" s="5" t="n">
        <v>38504</v>
      </c>
      <c r="B24" s="1" t="n">
        <v>67.8597678886667</v>
      </c>
      <c r="C24" s="1" t="n">
        <v>193.776535452</v>
      </c>
      <c r="D24" s="17" t="n">
        <f aca="false">SUM(Data!C69:C71)</f>
        <v>583.5</v>
      </c>
      <c r="E24" s="17" t="n">
        <f aca="false">SUM(Data!D69:D71)</f>
        <v>1926.2</v>
      </c>
      <c r="F24" s="17" t="n">
        <f aca="false">SUM(Data!E69:E71)</f>
        <v>2428.08</v>
      </c>
      <c r="G24" s="17" t="n">
        <f aca="false">E24/F24</f>
        <v>0.793301703403512</v>
      </c>
      <c r="H24" s="17" t="n">
        <f aca="false">E24/O24</f>
        <v>0.202062353576389</v>
      </c>
      <c r="I24" s="1" t="n">
        <v>2259.419177515</v>
      </c>
      <c r="J24" s="1" t="n">
        <v>181.545094828</v>
      </c>
      <c r="K24" s="1" t="n">
        <v>2394.735469127</v>
      </c>
      <c r="L24" s="1" t="n">
        <v>2369.67875519</v>
      </c>
      <c r="M24" s="1" t="n">
        <v>-0.839459179000002</v>
      </c>
      <c r="N24" s="1" t="n">
        <v>52.0303561976667</v>
      </c>
      <c r="O24" s="1" t="n">
        <v>9532.701</v>
      </c>
      <c r="P24" s="1" t="n">
        <v>58.8589496973333</v>
      </c>
      <c r="Q24" s="3" t="n">
        <f aca="false">AVERAGE(Data!L69:L71)</f>
        <v>42.9158377275139</v>
      </c>
      <c r="R24" s="3" t="n">
        <f aca="false">AVERAGE(Data!M69:M71)</f>
        <v>88.7402534001889</v>
      </c>
      <c r="S24" s="3" t="n">
        <f aca="false">Q24/R24</f>
        <v>0.483611845618446</v>
      </c>
      <c r="T24" s="3" t="n">
        <v>15996967.9006418</v>
      </c>
      <c r="U24" s="3" t="n">
        <f aca="false">AB24+AE24+AG24</f>
        <v>3561.01082213441</v>
      </c>
      <c r="V24" s="3" t="n">
        <f aca="false">AC24+AF24+AH24</f>
        <v>3483.3490702522</v>
      </c>
      <c r="W24" s="3" t="n">
        <f aca="false">U24/V24</f>
        <v>1.02229513905036</v>
      </c>
      <c r="X24" s="1" t="n">
        <v>2562.30052153208</v>
      </c>
      <c r="Y24" s="1" t="n">
        <v>2390.59556117001</v>
      </c>
      <c r="Z24" s="1" t="n">
        <v>252.447234932464</v>
      </c>
      <c r="AA24" s="1" t="n">
        <v>527.728484071097</v>
      </c>
      <c r="AB24" s="3" t="n">
        <f aca="false">X24+Z24</f>
        <v>2814.74775646454</v>
      </c>
      <c r="AC24" s="3" t="n">
        <f aca="false">Y24+AA24</f>
        <v>2918.32404524111</v>
      </c>
      <c r="AD24" s="3" t="n">
        <f aca="false">AB24/AC24</f>
        <v>0.964508297512244</v>
      </c>
      <c r="AE24" s="1" t="n">
        <v>46.2631144</v>
      </c>
      <c r="AF24" s="1" t="n">
        <v>537.342295396833</v>
      </c>
      <c r="AG24" s="1" t="n">
        <v>699.999951269868</v>
      </c>
      <c r="AH24" s="1" t="n">
        <v>27.6827296142589</v>
      </c>
      <c r="AI24" s="1" t="n">
        <v>8.476</v>
      </c>
      <c r="AJ24" s="1" t="n">
        <v>2.5</v>
      </c>
      <c r="AK24" s="1" t="n">
        <v>2428.07770379948</v>
      </c>
      <c r="AL24" s="1" t="n">
        <v>599.69354117</v>
      </c>
      <c r="AM24" s="1" t="n">
        <v>1807.53482263104</v>
      </c>
      <c r="AN24" s="1" t="n">
        <v>1252.94033733104</v>
      </c>
      <c r="AQ24" s="3" t="n">
        <f aca="false">AG24-AH24</f>
        <v>672.317221655609</v>
      </c>
    </row>
    <row r="25" customFormat="false" ht="15" hidden="false" customHeight="false" outlineLevel="0" collapsed="false">
      <c r="A25" s="5" t="n">
        <v>38596</v>
      </c>
      <c r="B25" s="1" t="n">
        <v>68.377844246</v>
      </c>
      <c r="C25" s="1" t="n">
        <v>196.275522482333</v>
      </c>
      <c r="D25" s="17" t="n">
        <f aca="false">SUM(Data!C72:C74)</f>
        <v>590.6</v>
      </c>
      <c r="E25" s="17" t="n">
        <f aca="false">SUM(Data!D72:D74)</f>
        <v>2408.64</v>
      </c>
      <c r="F25" s="17" t="n">
        <f aca="false">SUM(Data!E72:E74)</f>
        <v>2379.06</v>
      </c>
      <c r="G25" s="17" t="n">
        <f aca="false">E25/F25</f>
        <v>1.0124334821316</v>
      </c>
      <c r="H25" s="17" t="n">
        <f aca="false">E25/O25</f>
        <v>0.233370768020849</v>
      </c>
      <c r="I25" s="1" t="n">
        <v>2346.305229909</v>
      </c>
      <c r="J25" s="1" t="n">
        <v>-60.396772852</v>
      </c>
      <c r="K25" s="1" t="n">
        <v>2618.744101241</v>
      </c>
      <c r="L25" s="1" t="n">
        <v>2321.90191945</v>
      </c>
      <c r="M25" s="1" t="n">
        <v>275.790588796</v>
      </c>
      <c r="N25" s="1" t="n">
        <v>59.6698529823333</v>
      </c>
      <c r="O25" s="1" t="n">
        <v>10321.087</v>
      </c>
      <c r="P25" s="1" t="n">
        <v>59.3083091813333</v>
      </c>
      <c r="Q25" s="3" t="n">
        <f aca="false">AVERAGE(Data!L72:L74)</f>
        <v>42.9547797798123</v>
      </c>
      <c r="R25" s="3" t="n">
        <f aca="false">AVERAGE(Data!M72:M74)</f>
        <v>89.8200405452469</v>
      </c>
      <c r="S25" s="3" t="n">
        <f aca="false">Q25/R25</f>
        <v>0.478231578599364</v>
      </c>
      <c r="T25" s="3" t="n">
        <v>16340891.0951041</v>
      </c>
      <c r="U25" s="3" t="n">
        <f aca="false">AB25+AE25+AG25</f>
        <v>3795.19209339438</v>
      </c>
      <c r="V25" s="3" t="n">
        <f aca="false">AC25+AF25+AH25</f>
        <v>3405.76176143067</v>
      </c>
      <c r="W25" s="3" t="n">
        <f aca="false">U25/V25</f>
        <v>1.11434456055438</v>
      </c>
      <c r="X25" s="1" t="n">
        <v>2782.94614320725</v>
      </c>
      <c r="Y25" s="1" t="n">
        <v>2374.98042310651</v>
      </c>
      <c r="Z25" s="1" t="n">
        <v>254.675970117084</v>
      </c>
      <c r="AA25" s="1" t="n">
        <v>518.934594962944</v>
      </c>
      <c r="AB25" s="3" t="n">
        <f aca="false">X25+Z25</f>
        <v>3037.62211332433</v>
      </c>
      <c r="AC25" s="3" t="n">
        <f aca="false">Y25+AA25</f>
        <v>2893.91501806945</v>
      </c>
      <c r="AD25" s="3" t="n">
        <f aca="false">AB25/AC25</f>
        <v>1.04965836742184</v>
      </c>
      <c r="AE25" s="1" t="n">
        <v>55.8480273</v>
      </c>
      <c r="AF25" s="1" t="n">
        <v>470.563840228182</v>
      </c>
      <c r="AG25" s="1" t="n">
        <v>701.721952770045</v>
      </c>
      <c r="AH25" s="1" t="n">
        <v>41.2829031330307</v>
      </c>
      <c r="AI25" s="1" t="n">
        <v>8.218</v>
      </c>
      <c r="AJ25" s="1" t="n">
        <v>2.5</v>
      </c>
      <c r="AK25" s="1" t="n">
        <v>2379.05754082705</v>
      </c>
      <c r="AL25" s="1" t="n">
        <v>640.202</v>
      </c>
      <c r="AM25" s="1" t="n">
        <v>1763.01573778867</v>
      </c>
      <c r="AN25" s="1" t="n">
        <v>1113.03309676867</v>
      </c>
      <c r="AQ25" s="3" t="n">
        <f aca="false">AG25-AH25</f>
        <v>660.439049637014</v>
      </c>
    </row>
    <row r="26" customFormat="false" ht="15" hidden="false" customHeight="false" outlineLevel="0" collapsed="false">
      <c r="A26" s="5" t="n">
        <v>38687</v>
      </c>
      <c r="B26" s="1" t="n">
        <v>69.064972817</v>
      </c>
      <c r="C26" s="1" t="n">
        <v>198.515566462</v>
      </c>
      <c r="D26" s="17" t="n">
        <f aca="false">SUM(Data!C75:C77)</f>
        <v>593.6</v>
      </c>
      <c r="E26" s="17" t="n">
        <f aca="false">SUM(Data!D75:D77)</f>
        <v>2585.43</v>
      </c>
      <c r="F26" s="17" t="n">
        <f aca="false">SUM(Data!E75:E77)</f>
        <v>2326.01</v>
      </c>
      <c r="G26" s="17" t="n">
        <f aca="false">E26/F26</f>
        <v>1.1115300450127</v>
      </c>
      <c r="H26" s="17" t="n">
        <f aca="false">E26/O26</f>
        <v>0.227414302816214</v>
      </c>
      <c r="I26" s="1" t="n">
        <v>2442.224588097</v>
      </c>
      <c r="J26" s="1" t="n">
        <v>273.970377074</v>
      </c>
      <c r="K26" s="1" t="n">
        <v>2789.478428322</v>
      </c>
      <c r="L26" s="1" t="n">
        <v>2593.824828795</v>
      </c>
      <c r="M26" s="1" t="n">
        <v>197.571330788</v>
      </c>
      <c r="N26" s="1" t="n">
        <v>62.0225275416667</v>
      </c>
      <c r="O26" s="1" t="n">
        <v>11368.81</v>
      </c>
      <c r="P26" s="1" t="n">
        <v>59.9042980456667</v>
      </c>
      <c r="Q26" s="3" t="n">
        <f aca="false">AVERAGE(Data!L75:L77)</f>
        <v>43.3810795639055</v>
      </c>
      <c r="R26" s="3" t="n">
        <f aca="false">AVERAGE(Data!M75:M77)</f>
        <v>90.276288634708</v>
      </c>
      <c r="S26" s="3" t="n">
        <f aca="false">Q26/R26</f>
        <v>0.480536807837125</v>
      </c>
      <c r="T26" s="3" t="n">
        <v>18248351.597751</v>
      </c>
      <c r="U26" s="3" t="n">
        <f aca="false">AB26+AE26+AG26</f>
        <v>3843.10088393857</v>
      </c>
      <c r="V26" s="3" t="n">
        <f aca="false">AC26+AF26+AH26</f>
        <v>3853.7981868838</v>
      </c>
      <c r="W26" s="3" t="n">
        <f aca="false">U26/V26</f>
        <v>0.997224218179966</v>
      </c>
      <c r="X26" s="1" t="n">
        <v>2817.12662092953</v>
      </c>
      <c r="Y26" s="1" t="n">
        <v>2725.50131094768</v>
      </c>
      <c r="Z26" s="1" t="n">
        <v>243.446269148699</v>
      </c>
      <c r="AA26" s="1" t="n">
        <v>572.468298165085</v>
      </c>
      <c r="AB26" s="3" t="n">
        <f aca="false">X26+Z26</f>
        <v>3060.57289007823</v>
      </c>
      <c r="AC26" s="3" t="n">
        <f aca="false">Y26+AA26</f>
        <v>3297.96960911277</v>
      </c>
      <c r="AD26" s="3" t="n">
        <f aca="false">AB26/AC26</f>
        <v>0.928017311506275</v>
      </c>
      <c r="AE26" s="1" t="n">
        <v>71.1499461666667</v>
      </c>
      <c r="AF26" s="1" t="n">
        <v>523.613130905632</v>
      </c>
      <c r="AG26" s="1" t="n">
        <v>711.37804769367</v>
      </c>
      <c r="AH26" s="1" t="n">
        <v>32.2154468654002</v>
      </c>
      <c r="AI26" s="1" t="n">
        <v>59.249</v>
      </c>
      <c r="AJ26" s="1" t="n">
        <v>2.5</v>
      </c>
      <c r="AK26" s="1" t="n">
        <v>2326.01692327626</v>
      </c>
      <c r="AL26" s="1" t="n">
        <v>539.75704985</v>
      </c>
      <c r="AM26" s="1" t="n">
        <v>1805.96250913121</v>
      </c>
      <c r="AN26" s="1" t="n">
        <v>990.388239665651</v>
      </c>
      <c r="AQ26" s="3" t="n">
        <f aca="false">AG26-AH26</f>
        <v>679.16260082827</v>
      </c>
    </row>
    <row r="27" customFormat="false" ht="15" hidden="false" customHeight="false" outlineLevel="0" collapsed="false">
      <c r="A27" s="5" t="n">
        <v>38777</v>
      </c>
      <c r="B27" s="1" t="n">
        <v>69.8005096863333</v>
      </c>
      <c r="C27" s="1" t="n">
        <v>199.729291641333</v>
      </c>
      <c r="D27" s="17" t="n">
        <f aca="false">SUM(Data!C78:C80)</f>
        <v>596.8</v>
      </c>
      <c r="E27" s="17" t="n">
        <f aca="false">SUM(Data!D78:D80)</f>
        <v>2215.89</v>
      </c>
      <c r="F27" s="17" t="n">
        <f aca="false">SUM(Data!E78:E80)</f>
        <v>2541.94</v>
      </c>
      <c r="G27" s="17" t="n">
        <f aca="false">E27/F27</f>
        <v>0.871731826872389</v>
      </c>
      <c r="H27" s="17" t="n">
        <f aca="false">E27/O27</f>
        <v>0.210832434602783</v>
      </c>
      <c r="I27" s="1" t="n">
        <v>2630.475335161</v>
      </c>
      <c r="J27" s="1" t="n">
        <v>177.262741066</v>
      </c>
      <c r="K27" s="1" t="n">
        <v>3154.641279055</v>
      </c>
      <c r="L27" s="1" t="n">
        <v>2638.847659474</v>
      </c>
      <c r="M27" s="1" t="n">
        <v>537.099248324</v>
      </c>
      <c r="N27" s="1" t="n">
        <v>66.7945432776667</v>
      </c>
      <c r="O27" s="1" t="n">
        <v>10510.195</v>
      </c>
      <c r="P27" s="1" t="n">
        <v>60.5422744036667</v>
      </c>
      <c r="Q27" s="3" t="n">
        <f aca="false">AVERAGE(Data!L78:L80)</f>
        <v>44.0012764583031</v>
      </c>
      <c r="R27" s="3" t="n">
        <f aca="false">AVERAGE(Data!M78:M80)</f>
        <v>90.7629532634665</v>
      </c>
      <c r="S27" s="3" t="n">
        <f aca="false">Q27/R27</f>
        <v>0.484793353193084</v>
      </c>
      <c r="T27" s="3" t="n">
        <v>16174029.1160401</v>
      </c>
      <c r="U27" s="3" t="n">
        <f aca="false">AB27+AE27+AG27</f>
        <v>4150.93314072513</v>
      </c>
      <c r="V27" s="3" t="n">
        <f aca="false">AC27+AF27+AH27</f>
        <v>3666.83747826846</v>
      </c>
      <c r="W27" s="3" t="n">
        <f aca="false">U27/V27</f>
        <v>1.13201993961436</v>
      </c>
      <c r="X27" s="1" t="n">
        <v>3139.02755685299</v>
      </c>
      <c r="Y27" s="1" t="n">
        <v>2562.47269100065</v>
      </c>
      <c r="Z27" s="1" t="n">
        <v>250.868015640237</v>
      </c>
      <c r="AA27" s="1" t="n">
        <v>565.047539115548</v>
      </c>
      <c r="AB27" s="3" t="n">
        <f aca="false">X27+Z27</f>
        <v>3389.89557249323</v>
      </c>
      <c r="AC27" s="3" t="n">
        <f aca="false">Y27+AA27</f>
        <v>3127.5202301162</v>
      </c>
      <c r="AD27" s="3" t="n">
        <f aca="false">AB27/AC27</f>
        <v>1.08389245250934</v>
      </c>
      <c r="AE27" s="1" t="n">
        <v>67.8037457619048</v>
      </c>
      <c r="AF27" s="1" t="n">
        <v>521.003499885436</v>
      </c>
      <c r="AG27" s="1" t="n">
        <v>693.23382247</v>
      </c>
      <c r="AH27" s="1" t="n">
        <v>18.3137482668273</v>
      </c>
      <c r="AI27" s="1" t="n">
        <v>4.727</v>
      </c>
      <c r="AJ27" s="1" t="n">
        <v>2.6</v>
      </c>
      <c r="AK27" s="1" t="n">
        <v>2541.94645905123</v>
      </c>
      <c r="AL27" s="1" t="n">
        <v>731.520865252365</v>
      </c>
      <c r="AM27" s="1" t="n">
        <v>1764.99234579886</v>
      </c>
      <c r="AN27" s="1" t="n">
        <v>1039.95802637639</v>
      </c>
      <c r="AQ27" s="3" t="n">
        <f aca="false">AG27-AH27</f>
        <v>674.920074203173</v>
      </c>
    </row>
    <row r="28" customFormat="false" ht="15" hidden="false" customHeight="false" outlineLevel="0" collapsed="false">
      <c r="A28" s="5" t="n">
        <v>38869</v>
      </c>
      <c r="B28" s="1" t="n">
        <v>69.9848331656667</v>
      </c>
      <c r="C28" s="1" t="n">
        <v>201.477705195667</v>
      </c>
      <c r="D28" s="17" t="n">
        <f aca="false">SUM(Data!C81:C83)</f>
        <v>606.9</v>
      </c>
      <c r="E28" s="17" t="n">
        <f aca="false">SUM(Data!D81:D83)</f>
        <v>2343.49</v>
      </c>
      <c r="F28" s="17" t="n">
        <f aca="false">SUM(Data!E81:E83)</f>
        <v>3098.64</v>
      </c>
      <c r="G28" s="17" t="n">
        <f aca="false">E28/F28</f>
        <v>0.756296310639506</v>
      </c>
      <c r="H28" s="17" t="n">
        <f aca="false">E28/O28</f>
        <v>0.211015117156885</v>
      </c>
      <c r="I28" s="1" t="n">
        <v>2887.421551583</v>
      </c>
      <c r="J28" s="1" t="n">
        <v>364.313946508</v>
      </c>
      <c r="K28" s="1" t="n">
        <v>3201.347043432</v>
      </c>
      <c r="L28" s="1" t="n">
        <v>2755.285144403</v>
      </c>
      <c r="M28" s="1" t="n">
        <v>432.527279581</v>
      </c>
      <c r="N28" s="1" t="n">
        <v>68.294544942</v>
      </c>
      <c r="O28" s="1" t="n">
        <v>11105.792</v>
      </c>
      <c r="P28" s="1" t="n">
        <v>60.7021494923333</v>
      </c>
      <c r="Q28" s="3" t="n">
        <f aca="false">AVERAGE(Data!L81:L83)</f>
        <v>44.2511734352252</v>
      </c>
      <c r="R28" s="3" t="n">
        <f aca="false">AVERAGE(Data!M81:M83)</f>
        <v>92.2989884979857</v>
      </c>
      <c r="S28" s="3" t="n">
        <f aca="false">Q28/R28</f>
        <v>0.479432918554583</v>
      </c>
      <c r="T28" s="3" t="n">
        <v>16669236.6742021</v>
      </c>
      <c r="U28" s="3" t="n">
        <f aca="false">AB28+AE28+AG28</f>
        <v>4522.27180724747</v>
      </c>
      <c r="V28" s="3" t="n">
        <f aca="false">AC28+AF28+AH28</f>
        <v>3922.51446033864</v>
      </c>
      <c r="W28" s="3" t="n">
        <f aca="false">U28/V28</f>
        <v>1.15290124560995</v>
      </c>
      <c r="X28" s="1" t="n">
        <v>3434.7550997178</v>
      </c>
      <c r="Y28" s="1" t="n">
        <v>2774.55438569262</v>
      </c>
      <c r="Z28" s="1" t="n">
        <v>257.157764893006</v>
      </c>
      <c r="AA28" s="1" t="n">
        <v>574.503985282604</v>
      </c>
      <c r="AB28" s="3" t="n">
        <f aca="false">X28+Z28</f>
        <v>3691.91286461081</v>
      </c>
      <c r="AC28" s="3" t="n">
        <f aca="false">Y28+AA28</f>
        <v>3349.05837097522</v>
      </c>
      <c r="AD28" s="3" t="n">
        <f aca="false">AB28/AC28</f>
        <v>1.10237340041814</v>
      </c>
      <c r="AE28" s="1" t="n">
        <v>71.7797395066667</v>
      </c>
      <c r="AF28" s="1" t="n">
        <v>543.522315945285</v>
      </c>
      <c r="AG28" s="1" t="n">
        <v>758.57920313</v>
      </c>
      <c r="AH28" s="1" t="n">
        <v>29.9337734181308</v>
      </c>
      <c r="AI28" s="1" t="n">
        <v>6.084</v>
      </c>
      <c r="AJ28" s="1" t="n">
        <v>2.6</v>
      </c>
      <c r="AK28" s="1" t="n">
        <v>3098.63914358754</v>
      </c>
      <c r="AL28" s="1" t="n">
        <v>827.34995959</v>
      </c>
      <c r="AM28" s="1" t="n">
        <v>2386.60731589026</v>
      </c>
      <c r="AN28" s="1" t="n">
        <v>1524.94273811318</v>
      </c>
      <c r="AQ28" s="3" t="n">
        <f aca="false">AG28-AH28</f>
        <v>728.645429711869</v>
      </c>
    </row>
    <row r="29" customFormat="false" ht="15" hidden="false" customHeight="false" outlineLevel="0" collapsed="false">
      <c r="A29" s="5" t="n">
        <v>38961</v>
      </c>
      <c r="B29" s="1" t="n">
        <v>70.509749772</v>
      </c>
      <c r="C29" s="1" t="n">
        <v>202.687321062333</v>
      </c>
      <c r="D29" s="17" t="n">
        <f aca="false">SUM(Data!C84:C86)</f>
        <v>610.3</v>
      </c>
      <c r="E29" s="17" t="n">
        <f aca="false">SUM(Data!D84:D86)</f>
        <v>2392.71</v>
      </c>
      <c r="F29" s="17" t="n">
        <f aca="false">SUM(Data!E84:E86)</f>
        <v>2454.67</v>
      </c>
      <c r="G29" s="17" t="n">
        <f aca="false">E29/F29</f>
        <v>0.974758317818689</v>
      </c>
      <c r="H29" s="17" t="n">
        <f aca="false">E29/O29</f>
        <v>0.205451557486655</v>
      </c>
      <c r="I29" s="1" t="n">
        <v>2442.142635488</v>
      </c>
      <c r="J29" s="1" t="n">
        <v>19.300756209</v>
      </c>
      <c r="K29" s="1" t="n">
        <v>3164.386786063</v>
      </c>
      <c r="L29" s="1" t="n">
        <v>3011.036082528</v>
      </c>
      <c r="M29" s="1" t="n">
        <v>123.712071012</v>
      </c>
      <c r="N29" s="1" t="n">
        <v>66.3216458293333</v>
      </c>
      <c r="O29" s="1" t="n">
        <v>11646.103</v>
      </c>
      <c r="P29" s="1" t="n">
        <v>61.157441945</v>
      </c>
      <c r="Q29" s="3" t="n">
        <f aca="false">AVERAGE(Data!L84:L86)</f>
        <v>44.3238098890205</v>
      </c>
      <c r="R29" s="3" t="n">
        <f aca="false">AVERAGE(Data!M84:M86)</f>
        <v>92.8160696660416</v>
      </c>
      <c r="S29" s="3" t="n">
        <f aca="false">Q29/R29</f>
        <v>0.477544567966523</v>
      </c>
      <c r="T29" s="3" t="n">
        <v>17236054.4585735</v>
      </c>
      <c r="U29" s="3" t="n">
        <f aca="false">AB29+AE29+AG29</f>
        <v>4546.4152233211</v>
      </c>
      <c r="V29" s="3" t="n">
        <f aca="false">AC29+AF29+AH29</f>
        <v>4213.86185203682</v>
      </c>
      <c r="W29" s="3" t="n">
        <f aca="false">U29/V29</f>
        <v>1.07891890692229</v>
      </c>
      <c r="X29" s="1" t="n">
        <v>3383.32224867875</v>
      </c>
      <c r="Y29" s="1" t="n">
        <v>3048.58131403499</v>
      </c>
      <c r="Z29" s="1" t="n">
        <v>268.767508445681</v>
      </c>
      <c r="AA29" s="1" t="n">
        <v>578.539472024674</v>
      </c>
      <c r="AB29" s="3" t="n">
        <f aca="false">X29+Z29</f>
        <v>3652.08975712443</v>
      </c>
      <c r="AC29" s="3" t="n">
        <f aca="false">Y29+AA29</f>
        <v>3627.12078605966</v>
      </c>
      <c r="AD29" s="3" t="n">
        <f aca="false">AB29/AC29</f>
        <v>1.00688396459272</v>
      </c>
      <c r="AE29" s="1" t="n">
        <v>75.5416644366667</v>
      </c>
      <c r="AF29" s="1" t="n">
        <v>535.581639247999</v>
      </c>
      <c r="AG29" s="1" t="n">
        <v>818.78380176</v>
      </c>
      <c r="AH29" s="1" t="n">
        <v>51.1594267291589</v>
      </c>
      <c r="AI29" s="1" t="n">
        <v>6.28</v>
      </c>
      <c r="AJ29" s="1" t="n">
        <v>2.6</v>
      </c>
      <c r="AK29" s="1" t="n">
        <v>2454.67396927921</v>
      </c>
      <c r="AL29" s="1" t="n">
        <v>547.0090808875</v>
      </c>
      <c r="AM29" s="1" t="n">
        <v>2014.07462835332</v>
      </c>
      <c r="AN29" s="1" t="n">
        <v>1268.69614518984</v>
      </c>
      <c r="AQ29" s="3" t="n">
        <f aca="false">AG29-AH29</f>
        <v>767.624375030841</v>
      </c>
    </row>
    <row r="30" customFormat="false" ht="15" hidden="false" customHeight="false" outlineLevel="0" collapsed="false">
      <c r="A30" s="5" t="n">
        <v>39052</v>
      </c>
      <c r="B30" s="1" t="n">
        <v>71.2368929803333</v>
      </c>
      <c r="C30" s="1" t="n">
        <v>202.442652738333</v>
      </c>
      <c r="D30" s="17" t="n">
        <f aca="false">SUM(Data!C87:C89)</f>
        <v>605.1</v>
      </c>
      <c r="E30" s="17" t="n">
        <f aca="false">SUM(Data!D87:D89)</f>
        <v>2975.89</v>
      </c>
      <c r="F30" s="17" t="n">
        <f aca="false">SUM(Data!E87:E89)</f>
        <v>3167.46</v>
      </c>
      <c r="G30" s="17" t="n">
        <f aca="false">E30/F30</f>
        <v>0.939519362517601</v>
      </c>
      <c r="H30" s="17" t="n">
        <f aca="false">E30/O30</f>
        <v>0.239437487770214</v>
      </c>
      <c r="I30" s="1" t="n">
        <v>3323.663570073</v>
      </c>
      <c r="J30" s="1" t="n">
        <v>896.596064596</v>
      </c>
      <c r="K30" s="1" t="n">
        <v>3202.650892847</v>
      </c>
      <c r="L30" s="1" t="n">
        <v>2855.804632576</v>
      </c>
      <c r="M30" s="1" t="n">
        <v>381.293648308</v>
      </c>
      <c r="N30" s="1" t="n">
        <v>62.557472645</v>
      </c>
      <c r="O30" s="1" t="n">
        <v>12428.672</v>
      </c>
      <c r="P30" s="1" t="n">
        <v>61.7881379646667</v>
      </c>
      <c r="Q30" s="3" t="n">
        <f aca="false">AVERAGE(Data!L87:L89)</f>
        <v>44.7243341303894</v>
      </c>
      <c r="R30" s="3" t="n">
        <f aca="false">AVERAGE(Data!M87:M89)</f>
        <v>92.025239644309</v>
      </c>
      <c r="S30" s="3" t="n">
        <f aca="false">Q30/R30</f>
        <v>0.486000735268449</v>
      </c>
      <c r="T30" s="3" t="n">
        <v>18857353.6190246</v>
      </c>
      <c r="U30" s="3" t="n">
        <f aca="false">AB30+AE30+AG30</f>
        <v>4513.37078282219</v>
      </c>
      <c r="V30" s="3" t="n">
        <f aca="false">AC30+AF30+AH30</f>
        <v>4189.85025917023</v>
      </c>
      <c r="W30" s="3" t="n">
        <f aca="false">U30/V30</f>
        <v>1.07721529497239</v>
      </c>
      <c r="X30" s="1" t="n">
        <v>3218.98676499569</v>
      </c>
      <c r="Y30" s="1" t="n">
        <v>3022.07713116174</v>
      </c>
      <c r="Z30" s="1" t="n">
        <v>259.737531879834</v>
      </c>
      <c r="AA30" s="1" t="n">
        <v>623.179190974731</v>
      </c>
      <c r="AB30" s="3" t="n">
        <f aca="false">X30+Z30</f>
        <v>3478.72429687552</v>
      </c>
      <c r="AC30" s="3" t="n">
        <f aca="false">Y30+AA30</f>
        <v>3645.25632213647</v>
      </c>
      <c r="AD30" s="3" t="n">
        <f aca="false">AB30/AC30</f>
        <v>0.954315414186473</v>
      </c>
      <c r="AE30" s="1" t="n">
        <v>71.4429271266667</v>
      </c>
      <c r="AF30" s="1" t="n">
        <v>514.065002211518</v>
      </c>
      <c r="AG30" s="1" t="n">
        <v>963.20355882</v>
      </c>
      <c r="AH30" s="1" t="n">
        <v>30.528934822243</v>
      </c>
      <c r="AI30" s="1" t="n">
        <v>19.421</v>
      </c>
      <c r="AJ30" s="1" t="n">
        <v>2.6</v>
      </c>
      <c r="AK30" s="1" t="n">
        <v>3167.45906658654</v>
      </c>
      <c r="AL30" s="1" t="n">
        <v>1129.12670708</v>
      </c>
      <c r="AM30" s="1" t="n">
        <v>2167.53798649149</v>
      </c>
      <c r="AN30" s="1" t="n">
        <v>1119.17376994017</v>
      </c>
      <c r="AQ30" s="3" t="n">
        <f aca="false">AG30-AH30</f>
        <v>932.674623997757</v>
      </c>
    </row>
    <row r="31" customFormat="false" ht="15" hidden="false" customHeight="false" outlineLevel="0" collapsed="false">
      <c r="A31" s="5" t="n">
        <v>39142</v>
      </c>
      <c r="B31" s="1" t="n">
        <v>71.2407984036667</v>
      </c>
      <c r="C31" s="1" t="n">
        <v>204.677395638667</v>
      </c>
      <c r="D31" s="17" t="n">
        <f aca="false">SUM(Data!C90:C92)</f>
        <v>611.267</v>
      </c>
      <c r="E31" s="17" t="n">
        <f aca="false">SUM(Data!D90:D92)</f>
        <v>2272.38</v>
      </c>
      <c r="F31" s="17" t="n">
        <f aca="false">SUM(Data!E90:E92)</f>
        <v>2728.76</v>
      </c>
      <c r="G31" s="17" t="n">
        <f aca="false">E31/F31</f>
        <v>0.832751872645451</v>
      </c>
      <c r="H31" s="17" t="n">
        <f aca="false">E31/O31</f>
        <v>0.207509586353339</v>
      </c>
      <c r="I31" s="1" t="n">
        <v>2822.298261142</v>
      </c>
      <c r="J31" s="1" t="n">
        <v>200.372165134</v>
      </c>
      <c r="K31" s="1" t="n">
        <v>3016.812188301</v>
      </c>
      <c r="L31" s="1" t="n">
        <v>3038.36827598</v>
      </c>
      <c r="M31" s="1" t="n">
        <v>-15.453257453</v>
      </c>
      <c r="N31" s="1" t="n">
        <v>62.6523655666667</v>
      </c>
      <c r="O31" s="1" t="n">
        <v>10950.723</v>
      </c>
      <c r="P31" s="1" t="n">
        <v>61.791525378</v>
      </c>
      <c r="Q31" s="3" t="n">
        <f aca="false">AVERAGE(Data!L90:L92)</f>
        <v>44.9068708255603</v>
      </c>
      <c r="R31" s="3" t="n">
        <f aca="false">AVERAGE(Data!M90:M92)</f>
        <v>92.9631336335446</v>
      </c>
      <c r="S31" s="3" t="n">
        <f aca="false">Q31/R31</f>
        <v>0.483061070236516</v>
      </c>
      <c r="T31" s="3" t="n">
        <v>16460616.0161408</v>
      </c>
      <c r="U31" s="3" t="n">
        <f aca="false">AB31+AE31+AG31</f>
        <v>4163.01136684745</v>
      </c>
      <c r="V31" s="3" t="n">
        <f aca="false">AC31+AF31+AH31</f>
        <v>4098.7000924683</v>
      </c>
      <c r="W31" s="3" t="n">
        <f aca="false">U31/V31</f>
        <v>1.01569065140856</v>
      </c>
      <c r="X31" s="1" t="n">
        <v>2999.80465062323</v>
      </c>
      <c r="Y31" s="1" t="n">
        <v>2902.18298187765</v>
      </c>
      <c r="Z31" s="1" t="n">
        <v>273.330948384215</v>
      </c>
      <c r="AA31" s="1" t="n">
        <v>612.787662568902</v>
      </c>
      <c r="AB31" s="3" t="n">
        <f aca="false">X31+Z31</f>
        <v>3273.13559900745</v>
      </c>
      <c r="AC31" s="3" t="n">
        <f aca="false">Y31+AA31</f>
        <v>3514.97064444655</v>
      </c>
      <c r="AD31" s="3" t="n">
        <f aca="false">AB31/AC31</f>
        <v>0.931198558991896</v>
      </c>
      <c r="AE31" s="1" t="n">
        <v>79.34396364</v>
      </c>
      <c r="AF31" s="1" t="n">
        <v>551.142595231746</v>
      </c>
      <c r="AG31" s="1" t="n">
        <v>810.5318042</v>
      </c>
      <c r="AH31" s="1" t="n">
        <v>32.58685279</v>
      </c>
      <c r="AI31" s="1" t="n">
        <v>60.8966</v>
      </c>
      <c r="AJ31" s="1" t="n">
        <v>2.5</v>
      </c>
      <c r="AK31" s="1" t="n">
        <v>2728.75455850183</v>
      </c>
      <c r="AL31" s="1" t="n">
        <v>572.96614614</v>
      </c>
      <c r="AM31" s="1" t="n">
        <v>1919.79043248773</v>
      </c>
      <c r="AN31" s="1" t="n">
        <v>1156.7422318731</v>
      </c>
      <c r="AQ31" s="3" t="n">
        <f aca="false">AG31-AH31</f>
        <v>777.94495141</v>
      </c>
    </row>
    <row r="32" customFormat="false" ht="15" hidden="false" customHeight="false" outlineLevel="0" collapsed="false">
      <c r="A32" s="5" t="n">
        <v>39234</v>
      </c>
      <c r="B32" s="1" t="n">
        <v>71.1761089403333</v>
      </c>
      <c r="C32" s="1" t="n">
        <v>206.772432831</v>
      </c>
      <c r="D32" s="17" t="n">
        <f aca="false">SUM(Data!C93:C95)</f>
        <v>622.987</v>
      </c>
      <c r="E32" s="17" t="n">
        <f aca="false">SUM(Data!D93:D95)</f>
        <v>2615.5</v>
      </c>
      <c r="F32" s="17" t="n">
        <f aca="false">SUM(Data!E93:E95)</f>
        <v>3300.95</v>
      </c>
      <c r="G32" s="17" t="n">
        <f aca="false">E32/F32</f>
        <v>0.79234765749254</v>
      </c>
      <c r="H32" s="17" t="n">
        <f aca="false">E32/O32</f>
        <v>0.223482389664595</v>
      </c>
      <c r="I32" s="1" t="n">
        <v>3045.539375929</v>
      </c>
      <c r="J32" s="1" t="n">
        <v>236.193196366</v>
      </c>
      <c r="K32" s="1" t="n">
        <v>3214.052049331</v>
      </c>
      <c r="L32" s="1" t="n">
        <v>2959.893018118</v>
      </c>
      <c r="M32" s="1" t="n">
        <v>227.347616462</v>
      </c>
      <c r="N32" s="1" t="n">
        <v>61.6309849883333</v>
      </c>
      <c r="O32" s="1" t="n">
        <v>11703.383</v>
      </c>
      <c r="P32" s="1" t="n">
        <v>61.735416229</v>
      </c>
      <c r="Q32" s="3" t="n">
        <f aca="false">AVERAGE(Data!L93:L95)</f>
        <v>45.0085016922539</v>
      </c>
      <c r="R32" s="3" t="n">
        <f aca="false">AVERAGE(Data!M93:M95)</f>
        <v>94.7455428363727</v>
      </c>
      <c r="S32" s="3" t="n">
        <f aca="false">Q32/R32</f>
        <v>0.475046111350952</v>
      </c>
      <c r="T32" s="3" t="n">
        <v>16855706.9951127</v>
      </c>
      <c r="U32" s="3" t="n">
        <f aca="false">AB32+AE32+AG32</f>
        <v>4752.02421911223</v>
      </c>
      <c r="V32" s="3" t="n">
        <f aca="false">AC32+AF32+AH32</f>
        <v>4206.75548333939</v>
      </c>
      <c r="W32" s="3" t="n">
        <f aca="false">U32/V32</f>
        <v>1.1296174065577</v>
      </c>
      <c r="X32" s="1" t="n">
        <v>3480.89604865711</v>
      </c>
      <c r="Y32" s="1" t="n">
        <v>2981.62062895922</v>
      </c>
      <c r="Z32" s="1" t="n">
        <v>301.922967918928</v>
      </c>
      <c r="AA32" s="1" t="n">
        <v>623.376849527989</v>
      </c>
      <c r="AB32" s="3" t="n">
        <f aca="false">X32+Z32</f>
        <v>3782.81901657604</v>
      </c>
      <c r="AC32" s="3" t="n">
        <f aca="false">Y32+AA32</f>
        <v>3604.99747848721</v>
      </c>
      <c r="AD32" s="3" t="n">
        <f aca="false">AB32/AC32</f>
        <v>1.04932639735533</v>
      </c>
      <c r="AE32" s="1" t="n">
        <v>80.2421460161905</v>
      </c>
      <c r="AF32" s="1" t="n">
        <v>562.516873132182</v>
      </c>
      <c r="AG32" s="1" t="n">
        <v>888.96305652</v>
      </c>
      <c r="AH32" s="1" t="n">
        <v>39.24113172</v>
      </c>
      <c r="AI32" s="1" t="n">
        <v>19.4922</v>
      </c>
      <c r="AJ32" s="1" t="n">
        <v>2.5</v>
      </c>
      <c r="AK32" s="1" t="n">
        <v>3300.94563813089</v>
      </c>
      <c r="AL32" s="1" t="n">
        <v>691.6401053</v>
      </c>
      <c r="AM32" s="1" t="n">
        <v>2480.80209588871</v>
      </c>
      <c r="AN32" s="1" t="n">
        <v>1526.13496288788</v>
      </c>
      <c r="AQ32" s="3" t="n">
        <f aca="false">AG32-AH32</f>
        <v>849.7219248</v>
      </c>
    </row>
    <row r="33" customFormat="false" ht="15" hidden="false" customHeight="false" outlineLevel="0" collapsed="false">
      <c r="A33" s="5" t="n">
        <v>39326</v>
      </c>
      <c r="B33" s="1" t="n">
        <v>72.2682733133333</v>
      </c>
      <c r="C33" s="1" t="n">
        <v>207.368739170333</v>
      </c>
      <c r="D33" s="17" t="n">
        <f aca="false">SUM(Data!C96:C98)</f>
        <v>624.706</v>
      </c>
      <c r="E33" s="17" t="n">
        <f aca="false">SUM(Data!D96:D98)</f>
        <v>3360.95</v>
      </c>
      <c r="F33" s="17" t="n">
        <f aca="false">SUM(Data!E96:E98)</f>
        <v>3814.82</v>
      </c>
      <c r="G33" s="17" t="n">
        <f aca="false">E33/F33</f>
        <v>0.881024530646269</v>
      </c>
      <c r="H33" s="17" t="n">
        <f aca="false">E33/O33</f>
        <v>0.267182809102158</v>
      </c>
      <c r="I33" s="1" t="n">
        <v>3826.508310902</v>
      </c>
      <c r="J33" s="1" t="n">
        <v>404.346983471</v>
      </c>
      <c r="K33" s="1" t="n">
        <v>3700.194080736</v>
      </c>
      <c r="L33" s="1" t="n">
        <v>3249.227895867</v>
      </c>
      <c r="M33" s="1" t="n">
        <v>439.427045167</v>
      </c>
      <c r="N33" s="1" t="n">
        <v>71.1972546246667</v>
      </c>
      <c r="O33" s="1" t="n">
        <v>12579.215</v>
      </c>
      <c r="P33" s="1" t="n">
        <v>62.6827175516667</v>
      </c>
      <c r="Q33" s="3" t="n">
        <f aca="false">AVERAGE(Data!L96:L98)</f>
        <v>45.4471996684627</v>
      </c>
      <c r="R33" s="3" t="n">
        <f aca="false">AVERAGE(Data!M96:M98)</f>
        <v>95.0069729916339</v>
      </c>
      <c r="S33" s="3" t="n">
        <f aca="false">Q33/R33</f>
        <v>0.478356464135161</v>
      </c>
      <c r="T33" s="3" t="n">
        <v>17498795.1670245</v>
      </c>
      <c r="U33" s="3" t="n">
        <f aca="false">AB33+AE33+AG33</f>
        <v>5299.49521598154</v>
      </c>
      <c r="V33" s="3" t="n">
        <f aca="false">AC33+AF33+AH33</f>
        <v>4625.23644310073</v>
      </c>
      <c r="W33" s="3" t="n">
        <f aca="false">U33/V33</f>
        <v>1.14577822802693</v>
      </c>
      <c r="X33" s="1" t="n">
        <v>3970.02010006475</v>
      </c>
      <c r="Y33" s="1" t="n">
        <v>3329.76374010078</v>
      </c>
      <c r="Z33" s="1" t="n">
        <v>316.704178276785</v>
      </c>
      <c r="AA33" s="1" t="n">
        <v>654.823688632401</v>
      </c>
      <c r="AB33" s="3" t="n">
        <f aca="false">X33+Z33</f>
        <v>4286.72427834154</v>
      </c>
      <c r="AC33" s="3" t="n">
        <f aca="false">Y33+AA33</f>
        <v>3984.58742873318</v>
      </c>
      <c r="AD33" s="3" t="n">
        <f aca="false">AB33/AC33</f>
        <v>1.0758263822823</v>
      </c>
      <c r="AE33" s="1" t="n">
        <v>85.45867822</v>
      </c>
      <c r="AF33" s="1" t="n">
        <v>598.815976147551</v>
      </c>
      <c r="AG33" s="1" t="n">
        <v>927.312259420001</v>
      </c>
      <c r="AH33" s="1" t="n">
        <v>41.83303822</v>
      </c>
      <c r="AI33" s="1" t="n">
        <v>14.3488</v>
      </c>
      <c r="AJ33" s="1" t="n">
        <v>2.5</v>
      </c>
      <c r="AK33" s="1" t="n">
        <v>3814.81338877375</v>
      </c>
      <c r="AL33" s="1" t="n">
        <v>968.70973309</v>
      </c>
      <c r="AM33" s="1" t="n">
        <v>2479.27286741936</v>
      </c>
      <c r="AN33" s="1" t="n">
        <v>1481.52795506003</v>
      </c>
      <c r="AQ33" s="3" t="n">
        <f aca="false">AG33-AH33</f>
        <v>885.479221200001</v>
      </c>
    </row>
    <row r="34" customFormat="false" ht="15" hidden="false" customHeight="false" outlineLevel="0" collapsed="false">
      <c r="A34" s="5" t="n">
        <v>39417</v>
      </c>
      <c r="B34" s="1" t="n">
        <v>73.2621351596667</v>
      </c>
      <c r="C34" s="1" t="n">
        <v>210.549827523</v>
      </c>
      <c r="D34" s="17" t="n">
        <f aca="false">SUM(Data!C99:C101)</f>
        <v>629.149</v>
      </c>
      <c r="E34" s="17" t="n">
        <f aca="false">SUM(Data!D99:D101)</f>
        <v>4056.63</v>
      </c>
      <c r="F34" s="17" t="n">
        <f aca="false">SUM(Data!E99:E101)</f>
        <v>3786.08</v>
      </c>
      <c r="G34" s="17" t="n">
        <f aca="false">E34/F34</f>
        <v>1.0714591345138</v>
      </c>
      <c r="H34" s="17" t="n">
        <f aca="false">E34/O34</f>
        <v>0.277558507615766</v>
      </c>
      <c r="I34" s="1" t="n">
        <v>3913.791716279</v>
      </c>
      <c r="J34" s="1" t="n">
        <v>626.996799115</v>
      </c>
      <c r="K34" s="1" t="n">
        <v>4404.742071652</v>
      </c>
      <c r="L34" s="1" t="n">
        <v>3621.778176269</v>
      </c>
      <c r="M34" s="1" t="n">
        <v>796.3754758</v>
      </c>
      <c r="N34" s="1" t="n">
        <v>93.695847373</v>
      </c>
      <c r="O34" s="1" t="n">
        <v>14615.405</v>
      </c>
      <c r="P34" s="1" t="n">
        <v>63.5447550483333</v>
      </c>
      <c r="Q34" s="3" t="n">
        <f aca="false">AVERAGE(Data!L99:L101)</f>
        <v>45.9737108601949</v>
      </c>
      <c r="R34" s="3" t="n">
        <f aca="false">AVERAGE(Data!M99:M101)</f>
        <v>95.6826764121259</v>
      </c>
      <c r="S34" s="3" t="n">
        <f aca="false">Q34/R34</f>
        <v>0.480481029420375</v>
      </c>
      <c r="T34" s="3" t="n">
        <v>19433026.9168234</v>
      </c>
      <c r="U34" s="3" t="n">
        <f aca="false">AB34+AE34+AG34</f>
        <v>5745.54631267893</v>
      </c>
      <c r="V34" s="3" t="n">
        <f aca="false">AC34+AF34+AH34</f>
        <v>5142.89629699604</v>
      </c>
      <c r="W34" s="3" t="n">
        <f aca="false">U34/V34</f>
        <v>1.1171810553588</v>
      </c>
      <c r="X34" s="1" t="n">
        <v>4419.43468228109</v>
      </c>
      <c r="Y34" s="1" t="n">
        <v>3833.56308106235</v>
      </c>
      <c r="Z34" s="1" t="n">
        <v>308.131832291373</v>
      </c>
      <c r="AA34" s="1" t="n">
        <v>680.574734792073</v>
      </c>
      <c r="AB34" s="3" t="n">
        <f aca="false">X34+Z34</f>
        <v>4727.56651457246</v>
      </c>
      <c r="AC34" s="3" t="n">
        <f aca="false">Y34+AA34</f>
        <v>4514.13781585442</v>
      </c>
      <c r="AD34" s="3" t="n">
        <f aca="false">AB34/AC34</f>
        <v>1.04728005821365</v>
      </c>
      <c r="AE34" s="1" t="n">
        <v>92.3976313864626</v>
      </c>
      <c r="AF34" s="1" t="n">
        <v>593.082200457619</v>
      </c>
      <c r="AG34" s="1" t="n">
        <v>925.582166719999</v>
      </c>
      <c r="AH34" s="1" t="n">
        <v>35.676280684</v>
      </c>
      <c r="AI34" s="1" t="n">
        <v>10.70733696</v>
      </c>
      <c r="AJ34" s="1" t="n">
        <v>2.5</v>
      </c>
      <c r="AK34" s="1" t="n">
        <v>3786.0789816494</v>
      </c>
      <c r="AL34" s="1" t="n">
        <v>1084.74388245</v>
      </c>
      <c r="AM34" s="1" t="n">
        <v>2582.95498480173</v>
      </c>
      <c r="AN34" s="1" t="n">
        <v>1400.87060874006</v>
      </c>
      <c r="AQ34" s="3" t="n">
        <f aca="false">AG34-AH34</f>
        <v>889.905886035999</v>
      </c>
    </row>
    <row r="35" customFormat="false" ht="15" hidden="false" customHeight="false" outlineLevel="0" collapsed="false">
      <c r="A35" s="5" t="n">
        <v>39508</v>
      </c>
      <c r="B35" s="1" t="n">
        <v>74.9991203966667</v>
      </c>
      <c r="C35" s="1" t="n">
        <v>213.052124807333</v>
      </c>
      <c r="D35" s="17" t="n">
        <f aca="false">SUM(Data!C102:C104)</f>
        <v>636.301</v>
      </c>
      <c r="E35" s="17" t="n">
        <f aca="false">SUM(Data!D102:D104)</f>
        <v>3663.68</v>
      </c>
      <c r="F35" s="17" t="n">
        <f aca="false">SUM(Data!E102:E104)</f>
        <v>4921.2</v>
      </c>
      <c r="G35" s="17" t="n">
        <f aca="false">E35/F35</f>
        <v>0.744468828740958</v>
      </c>
      <c r="H35" s="17" t="n">
        <f aca="false">E35/O35</f>
        <v>0.266061816990562</v>
      </c>
      <c r="I35" s="1" t="n">
        <v>5084.193562069</v>
      </c>
      <c r="J35" s="1" t="n">
        <v>871.965960215</v>
      </c>
      <c r="K35" s="1" t="n">
        <v>4879.911654795</v>
      </c>
      <c r="L35" s="1" t="n">
        <v>3854.487251765</v>
      </c>
      <c r="M35" s="1" t="n">
        <v>868.099787665</v>
      </c>
      <c r="N35" s="1" t="n">
        <v>102.810113658667</v>
      </c>
      <c r="O35" s="1" t="n">
        <v>13770.033</v>
      </c>
      <c r="P35" s="1" t="n">
        <v>65.0513491593333</v>
      </c>
      <c r="Q35" s="3" t="n">
        <f aca="false">AVERAGE(Data!L102:L104)</f>
        <v>47.2795069487598</v>
      </c>
      <c r="R35" s="3" t="n">
        <f aca="false">AVERAGE(Data!M102:M104)</f>
        <v>96.7703718574012</v>
      </c>
      <c r="S35" s="3" t="n">
        <f aca="false">Q35/R35</f>
        <v>0.488574199326524</v>
      </c>
      <c r="T35" s="3" t="n">
        <v>17414430.917274</v>
      </c>
      <c r="U35" s="3" t="n">
        <f aca="false">AB35+AE35+AG35</f>
        <v>6137.4308257019</v>
      </c>
      <c r="V35" s="3" t="n">
        <f aca="false">AC35+AF35+AH35</f>
        <v>4817.70347480624</v>
      </c>
      <c r="W35" s="3" t="n">
        <f aca="false">U35/V35</f>
        <v>1.27393287233161</v>
      </c>
      <c r="X35" s="1" t="n">
        <v>4803.65242508269</v>
      </c>
      <c r="Y35" s="1" t="n">
        <v>3665.42470531447</v>
      </c>
      <c r="Z35" s="1" t="n">
        <v>330.119354702557</v>
      </c>
      <c r="AA35" s="1" t="n">
        <v>668.359396764364</v>
      </c>
      <c r="AB35" s="3" t="n">
        <f aca="false">X35+Z35</f>
        <v>5133.77177978525</v>
      </c>
      <c r="AC35" s="3" t="n">
        <f aca="false">Y35+AA35</f>
        <v>4333.78410207883</v>
      </c>
      <c r="AD35" s="3" t="n">
        <f aca="false">AB35/AC35</f>
        <v>1.18459333895352</v>
      </c>
      <c r="AE35" s="1" t="n">
        <v>80.3055070966499</v>
      </c>
      <c r="AF35" s="1" t="n">
        <v>457.322058104402</v>
      </c>
      <c r="AG35" s="1" t="n">
        <v>923.35353882</v>
      </c>
      <c r="AH35" s="1" t="n">
        <v>26.597314623</v>
      </c>
      <c r="AI35" s="1" t="n">
        <v>37.441</v>
      </c>
      <c r="AJ35" s="1" t="n">
        <v>2.6</v>
      </c>
      <c r="AK35" s="1" t="n">
        <v>4921.19357058459</v>
      </c>
      <c r="AL35" s="1" t="n">
        <v>2073.00302295</v>
      </c>
      <c r="AM35" s="1" t="n">
        <v>2645.8726348945</v>
      </c>
      <c r="AN35" s="1" t="n">
        <v>1492.10092172557</v>
      </c>
      <c r="AQ35" s="3" t="n">
        <f aca="false">AG35-AH35</f>
        <v>896.756224197</v>
      </c>
    </row>
    <row r="36" customFormat="false" ht="15" hidden="false" customHeight="false" outlineLevel="0" collapsed="false">
      <c r="A36" s="5" t="n">
        <v>39600</v>
      </c>
      <c r="B36" s="1" t="n">
        <v>77.6309932526667</v>
      </c>
      <c r="C36" s="1" t="n">
        <v>215.841329917333</v>
      </c>
      <c r="D36" s="17" t="n">
        <f aca="false">SUM(Data!C105:C107)</f>
        <v>650.27</v>
      </c>
      <c r="E36" s="17" t="n">
        <f aca="false">SUM(Data!D105:D107)</f>
        <v>4980.08</v>
      </c>
      <c r="F36" s="17" t="n">
        <f aca="false">SUM(Data!E105:E107)</f>
        <v>5883.99</v>
      </c>
      <c r="G36" s="17" t="n">
        <f aca="false">E36/F36</f>
        <v>0.846378052987854</v>
      </c>
      <c r="H36" s="17" t="n">
        <f aca="false">E36/O36</f>
        <v>0.324051278664332</v>
      </c>
      <c r="I36" s="1" t="n">
        <v>5495.794616142</v>
      </c>
      <c r="J36" s="1" t="n">
        <v>413.174261481</v>
      </c>
      <c r="K36" s="1" t="n">
        <v>5263.142785231</v>
      </c>
      <c r="L36" s="1" t="n">
        <v>4328.306803447</v>
      </c>
      <c r="M36" s="1" t="n">
        <v>1032.870273261</v>
      </c>
      <c r="N36" s="1" t="n">
        <v>119.797157807</v>
      </c>
      <c r="O36" s="1" t="n">
        <v>15368.185</v>
      </c>
      <c r="P36" s="1" t="n">
        <v>67.3341343333333</v>
      </c>
      <c r="Q36" s="3" t="n">
        <f aca="false">AVERAGE(Data!L105:L107)</f>
        <v>49.0831138970486</v>
      </c>
      <c r="R36" s="3" t="n">
        <f aca="false">AVERAGE(Data!M105:M107)</f>
        <v>98.8948150446287</v>
      </c>
      <c r="S36" s="3" t="n">
        <f aca="false">Q36/R36</f>
        <v>0.496316352630809</v>
      </c>
      <c r="T36" s="3" t="n">
        <v>17990328.4091906</v>
      </c>
      <c r="U36" s="3" t="n">
        <f aca="false">AB36+AE36+AG36</f>
        <v>7118.66013341753</v>
      </c>
      <c r="V36" s="3" t="n">
        <f aca="false">AC36+AF36+AH36</f>
        <v>5570.43061067398</v>
      </c>
      <c r="W36" s="3" t="n">
        <f aca="false">U36/V36</f>
        <v>1.27793713465829</v>
      </c>
      <c r="X36" s="1" t="n">
        <v>5813.93163266732</v>
      </c>
      <c r="Y36" s="1" t="n">
        <v>4325.27728821299</v>
      </c>
      <c r="Z36" s="1" t="n">
        <v>365.597060359217</v>
      </c>
      <c r="AA36" s="1" t="n">
        <v>759.214816288645</v>
      </c>
      <c r="AB36" s="3" t="n">
        <f aca="false">X36+Z36</f>
        <v>6179.52869302654</v>
      </c>
      <c r="AC36" s="3" t="n">
        <f aca="false">Y36+AA36</f>
        <v>5084.49210450164</v>
      </c>
      <c r="AD36" s="3" t="n">
        <f aca="false">AB36/AC36</f>
        <v>1.21536793961296</v>
      </c>
      <c r="AE36" s="1" t="n">
        <v>81.7117393109941</v>
      </c>
      <c r="AF36" s="1" t="n">
        <v>453.700694615944</v>
      </c>
      <c r="AG36" s="1" t="n">
        <v>857.41970108</v>
      </c>
      <c r="AH36" s="1" t="n">
        <v>32.2378115564</v>
      </c>
      <c r="AI36" s="1" t="n">
        <v>27.52</v>
      </c>
      <c r="AJ36" s="1" t="n">
        <v>2.6</v>
      </c>
      <c r="AK36" s="1" t="n">
        <v>5883.9972163922</v>
      </c>
      <c r="AL36" s="1" t="n">
        <v>2747.94027292</v>
      </c>
      <c r="AM36" s="1" t="n">
        <v>2961.25244622495</v>
      </c>
      <c r="AN36" s="1" t="n">
        <v>1829.1918982158</v>
      </c>
      <c r="AQ36" s="3" t="n">
        <f aca="false">AG36-AH36</f>
        <v>825.1818895236</v>
      </c>
    </row>
    <row r="37" customFormat="false" ht="15" hidden="false" customHeight="false" outlineLevel="0" collapsed="false">
      <c r="A37" s="5" t="n">
        <v>39692</v>
      </c>
      <c r="B37" s="1" t="n">
        <v>79.4459473283333</v>
      </c>
      <c r="C37" s="1" t="n">
        <v>218.387241137333</v>
      </c>
      <c r="D37" s="17" t="n">
        <f aca="false">SUM(Data!C108:C110)</f>
        <v>657.833</v>
      </c>
      <c r="E37" s="17" t="n">
        <f aca="false">SUM(Data!D108:D110)</f>
        <v>5996.31</v>
      </c>
      <c r="F37" s="17" t="n">
        <f aca="false">SUM(Data!E108:E110)</f>
        <v>6255.67</v>
      </c>
      <c r="G37" s="17" t="n">
        <f aca="false">E37/F37</f>
        <v>0.95854001250066</v>
      </c>
      <c r="H37" s="17" t="n">
        <f aca="false">E37/O37</f>
        <v>0.373245204878055</v>
      </c>
      <c r="I37" s="1" t="n">
        <v>6391.774148833</v>
      </c>
      <c r="J37" s="1" t="n">
        <v>154.631105219</v>
      </c>
      <c r="K37" s="1" t="n">
        <v>5011.400905974</v>
      </c>
      <c r="L37" s="1" t="n">
        <v>5013.719241992</v>
      </c>
      <c r="M37" s="1" t="n">
        <v>-4.22879403100001</v>
      </c>
      <c r="N37" s="1" t="n">
        <v>114.377708967</v>
      </c>
      <c r="O37" s="1" t="n">
        <v>16065.337</v>
      </c>
      <c r="P37" s="1" t="n">
        <v>68.908355613</v>
      </c>
      <c r="Q37" s="3" t="n">
        <f aca="false">AVERAGE(Data!L108:L110)</f>
        <v>49.9704592952942</v>
      </c>
      <c r="R37" s="3" t="n">
        <f aca="false">AVERAGE(Data!M108:M110)</f>
        <v>100.04501647816</v>
      </c>
      <c r="S37" s="3" t="n">
        <f aca="false">Q37/R37</f>
        <v>0.499479744762727</v>
      </c>
      <c r="T37" s="3" t="n">
        <v>18677591.2983054</v>
      </c>
      <c r="U37" s="3" t="n">
        <f aca="false">AB37+AE37+AG37</f>
        <v>6726.36214353131</v>
      </c>
      <c r="V37" s="3" t="n">
        <f aca="false">AC37+AF37+AH37</f>
        <v>6491.9493546719</v>
      </c>
      <c r="W37" s="3" t="n">
        <f aca="false">U37/V37</f>
        <v>1.03610822821511</v>
      </c>
      <c r="X37" s="1" t="n">
        <v>5420.30561065299</v>
      </c>
      <c r="Y37" s="1" t="n">
        <v>5210.42800076151</v>
      </c>
      <c r="Z37" s="1" t="n">
        <v>377.997605944386</v>
      </c>
      <c r="AA37" s="1" t="n">
        <v>782.365696277818</v>
      </c>
      <c r="AB37" s="3" t="n">
        <f aca="false">X37+Z37</f>
        <v>5798.30321659738</v>
      </c>
      <c r="AC37" s="3" t="n">
        <f aca="false">Y37+AA37</f>
        <v>5992.79369703933</v>
      </c>
      <c r="AD37" s="3" t="n">
        <f aca="false">AB37/AC37</f>
        <v>0.96754594096272</v>
      </c>
      <c r="AE37" s="1" t="n">
        <v>90.933225363933</v>
      </c>
      <c r="AF37" s="1" t="n">
        <v>454.423601942568</v>
      </c>
      <c r="AG37" s="1" t="n">
        <v>837.12570157</v>
      </c>
      <c r="AH37" s="1" t="n">
        <v>44.73205569</v>
      </c>
      <c r="AI37" s="1" t="n">
        <v>19.7654</v>
      </c>
      <c r="AJ37" s="1" t="n">
        <v>2.6</v>
      </c>
      <c r="AK37" s="1" t="n">
        <v>6255.6627765286</v>
      </c>
      <c r="AL37" s="1" t="n">
        <v>2525.05663595</v>
      </c>
      <c r="AM37" s="1" t="n">
        <v>3480.17650932714</v>
      </c>
      <c r="AN37" s="1" t="n">
        <v>1891.65059739119</v>
      </c>
      <c r="AQ37" s="3" t="n">
        <f aca="false">AG37-AH37</f>
        <v>792.39364588</v>
      </c>
    </row>
    <row r="38" customFormat="false" ht="15" hidden="false" customHeight="false" outlineLevel="0" collapsed="false">
      <c r="A38" s="5" t="n">
        <v>39783</v>
      </c>
      <c r="B38" s="1" t="n">
        <v>80.0582025903333</v>
      </c>
      <c r="C38" s="1" t="n">
        <v>213.958451547333</v>
      </c>
      <c r="D38" s="17" t="n">
        <f aca="false">SUM(Data!C111:C113)</f>
        <v>639.226</v>
      </c>
      <c r="E38" s="17" t="n">
        <f aca="false">SUM(Data!D111:D113)</f>
        <v>7121</v>
      </c>
      <c r="F38" s="17" t="n">
        <f aca="false">SUM(Data!E111:E113)</f>
        <v>5047.53</v>
      </c>
      <c r="G38" s="17" t="n">
        <f aca="false">E38/F38</f>
        <v>1.41078903939154</v>
      </c>
      <c r="H38" s="17" t="n">
        <f aca="false">E38/O38</f>
        <v>0.446853208375915</v>
      </c>
      <c r="I38" s="1" t="n">
        <v>5216.075199075</v>
      </c>
      <c r="J38" s="1" t="n">
        <v>-913.669725198</v>
      </c>
      <c r="K38" s="1" t="n">
        <v>3313.065376985</v>
      </c>
      <c r="L38" s="1" t="n">
        <v>4413.072369721</v>
      </c>
      <c r="M38" s="1" t="n">
        <v>-1055.06171577</v>
      </c>
      <c r="N38" s="1" t="n">
        <v>61.5792626193333</v>
      </c>
      <c r="O38" s="1" t="n">
        <v>15935.882</v>
      </c>
      <c r="P38" s="1" t="n">
        <v>69.4394022523333</v>
      </c>
      <c r="Q38" s="3" t="n">
        <f aca="false">AVERAGE(Data!L111:L113)</f>
        <v>50.2356246550754</v>
      </c>
      <c r="R38" s="3" t="n">
        <f aca="false">AVERAGE(Data!M111:M113)</f>
        <v>97.2152137446258</v>
      </c>
      <c r="S38" s="3" t="n">
        <f aca="false">Q38/R38</f>
        <v>0.516746532976198</v>
      </c>
      <c r="T38" s="3" t="n">
        <v>20777530.4587219</v>
      </c>
      <c r="U38" s="3" t="n">
        <f aca="false">AB38+AE38+AG38</f>
        <v>4636.17333409902</v>
      </c>
      <c r="V38" s="3" t="n">
        <f aca="false">AC38+AF38+AH38</f>
        <v>5969.12632632984</v>
      </c>
      <c r="W38" s="3" t="n">
        <f aca="false">U38/V38</f>
        <v>0.776692112151964</v>
      </c>
      <c r="X38" s="1" t="n">
        <v>3422.87779501937</v>
      </c>
      <c r="Y38" s="1" t="n">
        <v>4710.97279914</v>
      </c>
      <c r="Z38" s="1" t="n">
        <v>367.902184513562</v>
      </c>
      <c r="AA38" s="1" t="n">
        <v>803.079541026971</v>
      </c>
      <c r="AB38" s="3" t="n">
        <f aca="false">X38+Z38</f>
        <v>3790.77997953293</v>
      </c>
      <c r="AC38" s="3" t="n">
        <f aca="false">Y38+AA38</f>
        <v>5514.05234016697</v>
      </c>
      <c r="AD38" s="3" t="n">
        <f aca="false">AB38/AC38</f>
        <v>0.687476241732255</v>
      </c>
      <c r="AE38" s="1" t="n">
        <v>80.5576881560882</v>
      </c>
      <c r="AF38" s="1" t="n">
        <v>396.880984585871</v>
      </c>
      <c r="AG38" s="1" t="n">
        <v>764.83566641</v>
      </c>
      <c r="AH38" s="1" t="n">
        <v>58.193001577</v>
      </c>
      <c r="AI38" s="1" t="n">
        <v>31.2781476</v>
      </c>
      <c r="AJ38" s="1" t="n">
        <v>2.6</v>
      </c>
      <c r="AK38" s="1" t="n">
        <v>5047.52149484679</v>
      </c>
      <c r="AL38" s="1" t="n">
        <v>1329.27189822</v>
      </c>
      <c r="AM38" s="1" t="n">
        <v>3453.15036421281</v>
      </c>
      <c r="AN38" s="1" t="n">
        <v>1706.26612763007</v>
      </c>
      <c r="AQ38" s="3" t="n">
        <f aca="false">AG38-AH38</f>
        <v>706.642664833</v>
      </c>
    </row>
    <row r="39" customFormat="false" ht="15" hidden="false" customHeight="false" outlineLevel="0" collapsed="false">
      <c r="A39" s="5" t="n">
        <v>39873</v>
      </c>
      <c r="B39" s="1" t="n">
        <v>80.8920756176667</v>
      </c>
      <c r="C39" s="1" t="n">
        <v>212.897389951333</v>
      </c>
      <c r="D39" s="17" t="n">
        <f aca="false">SUM(Data!C114:C116)</f>
        <v>636.045</v>
      </c>
      <c r="E39" s="17" t="n">
        <f aca="false">SUM(Data!D114:D116)</f>
        <v>4259.51</v>
      </c>
      <c r="F39" s="17" t="n">
        <f aca="false">SUM(Data!E114:E116)</f>
        <v>3446.17</v>
      </c>
      <c r="G39" s="17" t="n">
        <f aca="false">E39/F39</f>
        <v>1.23601273297603</v>
      </c>
      <c r="H39" s="17" t="n">
        <f aca="false">E39/O39</f>
        <v>0.315311037192846</v>
      </c>
      <c r="I39" s="1" t="n">
        <v>3611.063371853</v>
      </c>
      <c r="J39" s="1" t="n">
        <v>-1375.247379624</v>
      </c>
      <c r="K39" s="1" t="n">
        <v>2779.451872107</v>
      </c>
      <c r="L39" s="1" t="n">
        <v>3670.428928623</v>
      </c>
      <c r="M39" s="1" t="n">
        <v>-931.186041078</v>
      </c>
      <c r="N39" s="1" t="n">
        <v>46.9849125583333</v>
      </c>
      <c r="O39" s="1" t="n">
        <v>13508.915</v>
      </c>
      <c r="P39" s="1" t="n">
        <v>70.1626716073333</v>
      </c>
      <c r="Q39" s="3" t="n">
        <f aca="false">AVERAGE(Data!L114:L116)</f>
        <v>51.0050531227294</v>
      </c>
      <c r="R39" s="3" t="n">
        <f aca="false">AVERAGE(Data!M114:M116)</f>
        <v>96.7314386871005</v>
      </c>
      <c r="S39" s="3" t="n">
        <f aca="false">Q39/R39</f>
        <v>0.527285170312794</v>
      </c>
      <c r="T39" s="3" t="n">
        <v>18181889.788757</v>
      </c>
      <c r="U39" s="3" t="n">
        <f aca="false">AB39+AE39+AG39</f>
        <v>3879.66857016228</v>
      </c>
      <c r="V39" s="3" t="n">
        <f aca="false">AC39+AF39+AH39</f>
        <v>4533.75525435018</v>
      </c>
      <c r="W39" s="3" t="n">
        <f aca="false">U39/V39</f>
        <v>0.855729599968966</v>
      </c>
      <c r="X39" s="1" t="n">
        <v>2789.16355738241</v>
      </c>
      <c r="Y39" s="1" t="n">
        <v>3430.87953350584</v>
      </c>
      <c r="Z39" s="1" t="n">
        <v>320.244960799058</v>
      </c>
      <c r="AA39" s="1" t="n">
        <v>695.956761037265</v>
      </c>
      <c r="AB39" s="3" t="n">
        <f aca="false">X39+Z39</f>
        <v>3109.40851818147</v>
      </c>
      <c r="AC39" s="3" t="n">
        <f aca="false">Y39+AA39</f>
        <v>4126.8362945431</v>
      </c>
      <c r="AD39" s="3" t="n">
        <f aca="false">AB39/AC39</f>
        <v>0.753460592147312</v>
      </c>
      <c r="AE39" s="1" t="n">
        <v>65.8725451708079</v>
      </c>
      <c r="AF39" s="1" t="n">
        <v>333.985223105274</v>
      </c>
      <c r="AG39" s="1" t="n">
        <v>704.38750681</v>
      </c>
      <c r="AH39" s="1" t="n">
        <v>72.9337367018</v>
      </c>
      <c r="AI39" s="1" t="n">
        <v>30.529</v>
      </c>
      <c r="AJ39" s="1" t="n">
        <v>2.8</v>
      </c>
      <c r="AK39" s="1" t="n">
        <v>3446.16504368051</v>
      </c>
      <c r="AL39" s="1" t="n">
        <v>652.3566122</v>
      </c>
      <c r="AM39" s="1" t="n">
        <v>2567.3521692811</v>
      </c>
      <c r="AN39" s="1" t="n">
        <v>1629.40294666879</v>
      </c>
      <c r="AQ39" s="3" t="n">
        <f aca="false">AG39-AH39</f>
        <v>631.4537701082</v>
      </c>
    </row>
    <row r="40" customFormat="false" ht="15" hidden="false" customHeight="false" outlineLevel="0" collapsed="false">
      <c r="A40" s="5" t="n">
        <v>39965</v>
      </c>
      <c r="B40" s="1" t="n">
        <v>81.8993781863333</v>
      </c>
      <c r="C40" s="1" t="n">
        <v>213.374676943667</v>
      </c>
      <c r="D40" s="17" t="n">
        <f aca="false">SUM(Data!C117:C119)</f>
        <v>642.789</v>
      </c>
      <c r="E40" s="17" t="n">
        <f aca="false">SUM(Data!D117:D119)</f>
        <v>4682.94</v>
      </c>
      <c r="F40" s="17" t="n">
        <f aca="false">SUM(Data!E117:E119)</f>
        <v>4781.94</v>
      </c>
      <c r="G40" s="17" t="n">
        <f aca="false">E40/F40</f>
        <v>0.979297105358913</v>
      </c>
      <c r="H40" s="17" t="n">
        <f aca="false">E40/O40</f>
        <v>0.325441422503711</v>
      </c>
      <c r="I40" s="1" t="n">
        <v>4397.17589119</v>
      </c>
      <c r="J40" s="1" t="n">
        <v>-424.653020826</v>
      </c>
      <c r="K40" s="1" t="n">
        <v>3163.953313289</v>
      </c>
      <c r="L40" s="1" t="n">
        <v>3252.319163695</v>
      </c>
      <c r="M40" s="1" t="n">
        <v>-93.58048736</v>
      </c>
      <c r="N40" s="1" t="n">
        <v>55.3666348536667</v>
      </c>
      <c r="O40" s="1" t="n">
        <v>14389.502</v>
      </c>
      <c r="P40" s="1" t="n">
        <v>71.0363670686667</v>
      </c>
      <c r="Q40" s="3" t="n">
        <f aca="false">AVERAGE(Data!L117:L119)</f>
        <v>51.7749877877707</v>
      </c>
      <c r="R40" s="3" t="n">
        <f aca="false">AVERAGE(Data!M117:M119)</f>
        <v>97.7570843922091</v>
      </c>
      <c r="S40" s="3" t="n">
        <f aca="false">Q40/R40</f>
        <v>0.529629009597355</v>
      </c>
      <c r="T40" s="3" t="n">
        <v>18425948.8705576</v>
      </c>
      <c r="U40" s="3" t="n">
        <f aca="false">AB40+AE40+AG40</f>
        <v>4548.16703835765</v>
      </c>
      <c r="V40" s="3" t="n">
        <f aca="false">AC40+AF40+AH40</f>
        <v>4397.97125644855</v>
      </c>
      <c r="W40" s="3" t="n">
        <f aca="false">U40/V40</f>
        <v>1.03415115132662</v>
      </c>
      <c r="X40" s="1" t="n">
        <v>3428.65109253856</v>
      </c>
      <c r="Y40" s="1" t="n">
        <v>3277.12090680973</v>
      </c>
      <c r="Z40" s="1" t="n">
        <v>326.052947552735</v>
      </c>
      <c r="AA40" s="1" t="n">
        <v>640.801298224271</v>
      </c>
      <c r="AB40" s="3" t="n">
        <f aca="false">X40+Z40</f>
        <v>3754.7040400913</v>
      </c>
      <c r="AC40" s="3" t="n">
        <f aca="false">Y40+AA40</f>
        <v>3917.922205034</v>
      </c>
      <c r="AD40" s="3" t="n">
        <f aca="false">AB40/AC40</f>
        <v>0.958340631487529</v>
      </c>
      <c r="AE40" s="1" t="n">
        <v>49.6096907363531</v>
      </c>
      <c r="AF40" s="1" t="n">
        <v>412.429537263377</v>
      </c>
      <c r="AG40" s="1" t="n">
        <v>743.85330753</v>
      </c>
      <c r="AH40" s="1" t="n">
        <v>67.6195141511716</v>
      </c>
      <c r="AI40" s="1" t="n">
        <v>1939.46</v>
      </c>
      <c r="AJ40" s="1" t="n">
        <v>2.8</v>
      </c>
      <c r="AK40" s="1" t="n">
        <v>4781.93530238196</v>
      </c>
      <c r="AL40" s="1" t="n">
        <v>1215.72950518</v>
      </c>
      <c r="AM40" s="1" t="n">
        <v>3301.23940432174</v>
      </c>
      <c r="AN40" s="1" t="n">
        <v>2136.36767541217</v>
      </c>
      <c r="AQ40" s="3" t="n">
        <f aca="false">AG40-AH40</f>
        <v>676.233793378828</v>
      </c>
    </row>
    <row r="41" customFormat="false" ht="15" hidden="false" customHeight="false" outlineLevel="0" collapsed="false">
      <c r="A41" s="5" t="n">
        <v>40057</v>
      </c>
      <c r="B41" s="1" t="n">
        <v>82.2376851306667</v>
      </c>
      <c r="C41" s="1" t="n">
        <v>214.871058906333</v>
      </c>
      <c r="D41" s="17" t="n">
        <f aca="false">SUM(Data!C120:C122)</f>
        <v>647.154</v>
      </c>
      <c r="E41" s="17" t="n">
        <f aca="false">SUM(Data!D120:D122)</f>
        <v>4745.17</v>
      </c>
      <c r="F41" s="17" t="n">
        <f aca="false">SUM(Data!E120:E122)</f>
        <v>4821.5</v>
      </c>
      <c r="G41" s="17" t="n">
        <f aca="false">E41/F41</f>
        <v>0.984168827128487</v>
      </c>
      <c r="H41" s="17" t="n">
        <f aca="false">E41/O41</f>
        <v>0.313120423912252</v>
      </c>
      <c r="I41" s="1" t="n">
        <v>4781.650992941</v>
      </c>
      <c r="J41" s="1" t="n">
        <v>-73.691801247</v>
      </c>
      <c r="K41" s="1" t="n">
        <v>3708.166395518</v>
      </c>
      <c r="L41" s="1" t="n">
        <v>3397.648821918</v>
      </c>
      <c r="M41" s="1" t="n">
        <v>339.459450072</v>
      </c>
      <c r="N41" s="1" t="n">
        <v>65.508032556</v>
      </c>
      <c r="O41" s="1" t="n">
        <v>15154.457</v>
      </c>
      <c r="P41" s="1" t="n">
        <v>71.329801486</v>
      </c>
      <c r="Q41" s="3" t="n">
        <f aca="false">AVERAGE(Data!L120:L122)</f>
        <v>51.7142205319132</v>
      </c>
      <c r="R41" s="3" t="n">
        <f aca="false">AVERAGE(Data!M120:M122)</f>
        <v>98.420925362375</v>
      </c>
      <c r="S41" s="3" t="n">
        <f aca="false">Q41/R41</f>
        <v>0.525439283785507</v>
      </c>
      <c r="T41" s="3" t="n">
        <v>18709673.8200237</v>
      </c>
      <c r="U41" s="3" t="n">
        <f aca="false">AB41+AE41+AG41</f>
        <v>5139.0434655973</v>
      </c>
      <c r="V41" s="3" t="n">
        <f aca="false">AC41+AF41+AH41</f>
        <v>4502.6158094663</v>
      </c>
      <c r="W41" s="3" t="n">
        <f aca="false">U41/V41</f>
        <v>1.14134620475346</v>
      </c>
      <c r="X41" s="1" t="n">
        <v>3955.89370707326</v>
      </c>
      <c r="Y41" s="1" t="n">
        <v>3542.24135452262</v>
      </c>
      <c r="Z41" s="1" t="n">
        <v>345.35275337385</v>
      </c>
      <c r="AA41" s="1" t="n">
        <v>614.81154509912</v>
      </c>
      <c r="AB41" s="3" t="n">
        <f aca="false">X41+Z41</f>
        <v>4301.24646044711</v>
      </c>
      <c r="AC41" s="3" t="n">
        <f aca="false">Y41+AA41</f>
        <v>4157.05289962174</v>
      </c>
      <c r="AD41" s="3" t="n">
        <f aca="false">AB41/AC41</f>
        <v>1.03468648687114</v>
      </c>
      <c r="AE41" s="1" t="n">
        <v>43.3058213001863</v>
      </c>
      <c r="AF41" s="1" t="n">
        <v>292.368862284561</v>
      </c>
      <c r="AG41" s="1" t="n">
        <v>794.491183850001</v>
      </c>
      <c r="AH41" s="1" t="n">
        <v>53.19404756</v>
      </c>
      <c r="AI41" s="1" t="n">
        <v>19.8486</v>
      </c>
      <c r="AJ41" s="1" t="n">
        <v>2.8</v>
      </c>
      <c r="AK41" s="1" t="n">
        <v>4821.49994043303</v>
      </c>
      <c r="AL41" s="1" t="n">
        <v>1577.85575235825</v>
      </c>
      <c r="AM41" s="1" t="n">
        <v>3112.9607009839</v>
      </c>
      <c r="AN41" s="1" t="n">
        <v>1944.93299204442</v>
      </c>
      <c r="AQ41" s="3" t="n">
        <f aca="false">AG41-AH41</f>
        <v>741.297136290001</v>
      </c>
    </row>
    <row r="42" customFormat="false" ht="15" hidden="false" customHeight="false" outlineLevel="0" collapsed="false">
      <c r="A42" s="5" t="n">
        <v>40148</v>
      </c>
      <c r="B42" s="1" t="n">
        <v>83.200761267</v>
      </c>
      <c r="C42" s="1" t="n">
        <v>217.048568435667</v>
      </c>
      <c r="D42" s="17" t="n">
        <f aca="false">SUM(Data!C123:C125)</f>
        <v>648.456</v>
      </c>
      <c r="E42" s="17" t="n">
        <f aca="false">SUM(Data!D123:D125)</f>
        <v>6922.75</v>
      </c>
      <c r="F42" s="17" t="n">
        <f aca="false">SUM(Data!E123:E125)</f>
        <v>5328.81</v>
      </c>
      <c r="G42" s="17" t="n">
        <f aca="false">E42/F42</f>
        <v>1.29911743897793</v>
      </c>
      <c r="H42" s="17" t="n">
        <f aca="false">E42/O42</f>
        <v>0.406214562029966</v>
      </c>
      <c r="I42" s="1" t="n">
        <v>5604.065150409</v>
      </c>
      <c r="J42" s="1" t="n">
        <v>-178.45595599</v>
      </c>
      <c r="K42" s="1" t="n">
        <v>4213.96120663</v>
      </c>
      <c r="L42" s="1" t="n">
        <v>3761.348448523</v>
      </c>
      <c r="M42" s="1" t="n">
        <v>510.104424852</v>
      </c>
      <c r="N42" s="1" t="n">
        <v>79.2907544586667</v>
      </c>
      <c r="O42" s="1" t="n">
        <v>17042.102</v>
      </c>
      <c r="P42" s="1" t="n">
        <v>72.165136643</v>
      </c>
      <c r="Q42" s="3" t="n">
        <f aca="false">AVERAGE(Data!L123:L125)</f>
        <v>52.2173261928699</v>
      </c>
      <c r="R42" s="3" t="n">
        <f aca="false">AVERAGE(Data!M123:M125)</f>
        <v>98.6189370332012</v>
      </c>
      <c r="S42" s="3" t="n">
        <f aca="false">Q42/R42</f>
        <v>0.529485794146111</v>
      </c>
      <c r="T42" s="3" t="n">
        <v>20359098.9753973</v>
      </c>
      <c r="U42" s="3" t="n">
        <f aca="false">AB42+AE42+AG42</f>
        <v>5413.88067442573</v>
      </c>
      <c r="V42" s="3" t="n">
        <f aca="false">AC42+AF42+AH42</f>
        <v>5233.6370627119</v>
      </c>
      <c r="W42" s="3" t="n">
        <f aca="false">U42/V42</f>
        <v>1.03443945568905</v>
      </c>
      <c r="X42" s="1" t="n">
        <v>4238.31756663761</v>
      </c>
      <c r="Y42" s="1" t="n">
        <v>4018.20375211974</v>
      </c>
      <c r="Z42" s="1" t="n">
        <v>344.87340022941</v>
      </c>
      <c r="AA42" s="1" t="n">
        <v>666.741318512401</v>
      </c>
      <c r="AB42" s="3" t="n">
        <f aca="false">X42+Z42</f>
        <v>4583.19096686702</v>
      </c>
      <c r="AC42" s="3" t="n">
        <f aca="false">Y42+AA42</f>
        <v>4684.94507063214</v>
      </c>
      <c r="AD42" s="3" t="n">
        <f aca="false">AB42/AC42</f>
        <v>0.97828061968048</v>
      </c>
      <c r="AE42" s="1" t="n">
        <v>40.2789456587151</v>
      </c>
      <c r="AF42" s="1" t="n">
        <v>430.933270149755</v>
      </c>
      <c r="AG42" s="1" t="n">
        <v>790.410761899999</v>
      </c>
      <c r="AH42" s="1" t="n">
        <v>117.75872193</v>
      </c>
      <c r="AI42" s="1" t="n">
        <v>67.65115248</v>
      </c>
      <c r="AJ42" s="1" t="n">
        <v>2.8</v>
      </c>
      <c r="AK42" s="1" t="n">
        <v>5328.812660824</v>
      </c>
      <c r="AL42" s="1" t="n">
        <v>1765.55929017482</v>
      </c>
      <c r="AM42" s="1" t="n">
        <v>3391.11147967662</v>
      </c>
      <c r="AN42" s="1" t="n">
        <v>1842.73070279947</v>
      </c>
      <c r="AQ42" s="3" t="n">
        <f aca="false">AG42-AH42</f>
        <v>672.652039969999</v>
      </c>
    </row>
    <row r="43" customFormat="false" ht="15" hidden="false" customHeight="false" outlineLevel="0" collapsed="false">
      <c r="A43" s="5" t="n">
        <v>40238</v>
      </c>
      <c r="B43" s="1" t="n">
        <v>84.1268523846667</v>
      </c>
      <c r="C43" s="1" t="n">
        <v>217.780001607333</v>
      </c>
      <c r="D43" s="17" t="n">
        <f aca="false">SUM(Data!C126:C128)</f>
        <v>651.059</v>
      </c>
      <c r="E43" s="17" t="n">
        <f aca="false">SUM(Data!D126:D128)</f>
        <v>4897.5</v>
      </c>
      <c r="F43" s="17" t="n">
        <f aca="false">SUM(Data!E126:E128)</f>
        <v>5808.66</v>
      </c>
      <c r="G43" s="17" t="n">
        <f aca="false">E43/F43</f>
        <v>0.843137659976656</v>
      </c>
      <c r="H43" s="17" t="n">
        <f aca="false">E43/O43</f>
        <v>0.312655150529969</v>
      </c>
      <c r="I43" s="1" t="n">
        <v>5967.156693341</v>
      </c>
      <c r="J43" s="1" t="n">
        <v>215.388189231</v>
      </c>
      <c r="K43" s="1" t="n">
        <v>4259.489292327</v>
      </c>
      <c r="L43" s="1" t="n">
        <v>4403.665715063</v>
      </c>
      <c r="M43" s="1" t="n">
        <v>-186.798934031</v>
      </c>
      <c r="N43" s="1" t="n">
        <v>81.4330392096667</v>
      </c>
      <c r="O43" s="1" t="n">
        <v>15664.223</v>
      </c>
      <c r="P43" s="1" t="n">
        <v>72.9683924186667</v>
      </c>
      <c r="Q43" s="3" t="n">
        <f aca="false">AVERAGE(Data!L126:L128)</f>
        <v>53.0606432977239</v>
      </c>
      <c r="R43" s="3" t="n">
        <f aca="false">AVERAGE(Data!M126:M128)</f>
        <v>99.0148082921569</v>
      </c>
      <c r="S43" s="3" t="n">
        <f aca="false">Q43/R43</f>
        <v>0.535885936789991</v>
      </c>
      <c r="T43" s="3" t="n">
        <v>18184930.5277997</v>
      </c>
      <c r="U43" s="3" t="n">
        <f aca="false">AB43+AE43+AG43</f>
        <v>5350.79994226947</v>
      </c>
      <c r="V43" s="3" t="n">
        <f aca="false">AC43+AF43+AH43</f>
        <v>5143.9111393591</v>
      </c>
      <c r="W43" s="3" t="n">
        <f aca="false">U43/V43</f>
        <v>1.04022013547772</v>
      </c>
      <c r="X43" s="1" t="n">
        <v>4292.35017649225</v>
      </c>
      <c r="Y43" s="1" t="n">
        <v>4113.27098513718</v>
      </c>
      <c r="Z43" s="1" t="n">
        <v>350.202490634685</v>
      </c>
      <c r="AA43" s="1" t="n">
        <v>690.64970776946</v>
      </c>
      <c r="AB43" s="3" t="n">
        <f aca="false">X43+Z43</f>
        <v>4642.55266712694</v>
      </c>
      <c r="AC43" s="3" t="n">
        <f aca="false">Y43+AA43</f>
        <v>4803.92069290664</v>
      </c>
      <c r="AD43" s="3" t="n">
        <f aca="false">AB43/AC43</f>
        <v>0.966409098714311</v>
      </c>
      <c r="AE43" s="1" t="n">
        <v>19.8301882025291</v>
      </c>
      <c r="AF43" s="1" t="n">
        <v>234.849148042461</v>
      </c>
      <c r="AG43" s="1" t="n">
        <v>688.41708694</v>
      </c>
      <c r="AH43" s="1" t="n">
        <v>105.14129841</v>
      </c>
      <c r="AI43" s="1" t="n">
        <v>25.8336</v>
      </c>
      <c r="AJ43" s="1" t="n">
        <v>2.9</v>
      </c>
      <c r="AK43" s="1" t="n">
        <v>5808.66268855306</v>
      </c>
      <c r="AL43" s="1" t="n">
        <v>1924.11237094693</v>
      </c>
      <c r="AM43" s="1" t="n">
        <v>3543.29638086405</v>
      </c>
      <c r="AN43" s="1" t="n">
        <v>2108.1102135</v>
      </c>
      <c r="AQ43" s="3" t="n">
        <f aca="false">AG43-AH43</f>
        <v>583.27578853</v>
      </c>
    </row>
    <row r="44" customFormat="false" ht="15" hidden="false" customHeight="false" outlineLevel="0" collapsed="false">
      <c r="A44" s="5" t="n">
        <v>40330</v>
      </c>
      <c r="B44" s="1" t="n">
        <v>84.5847422723333</v>
      </c>
      <c r="C44" s="1" t="n">
        <v>217.215298093333</v>
      </c>
      <c r="D44" s="17" t="n">
        <f aca="false">SUM(Data!C129:C131)</f>
        <v>654.152</v>
      </c>
      <c r="E44" s="17" t="n">
        <f aca="false">SUM(Data!D129:D131)</f>
        <v>5897.19</v>
      </c>
      <c r="F44" s="17" t="n">
        <f aca="false">SUM(Data!E129:E131)</f>
        <v>5874.66</v>
      </c>
      <c r="G44" s="17" t="n">
        <f aca="false">E44/F44</f>
        <v>1.00383511556413</v>
      </c>
      <c r="H44" s="17" t="n">
        <f aca="false">E44/O44</f>
        <v>0.365498884635237</v>
      </c>
      <c r="I44" s="1" t="n">
        <v>5419.627449743</v>
      </c>
      <c r="J44" s="1" t="n">
        <v>-603.135610426</v>
      </c>
      <c r="K44" s="1" t="n">
        <v>4258.70496151</v>
      </c>
      <c r="L44" s="1" t="n">
        <v>4777.4267688</v>
      </c>
      <c r="M44" s="1" t="n">
        <v>-477.913815232</v>
      </c>
      <c r="N44" s="1" t="n">
        <v>74.3674891196667</v>
      </c>
      <c r="O44" s="1" t="n">
        <v>16134.632</v>
      </c>
      <c r="P44" s="1" t="n">
        <v>73.365548476</v>
      </c>
      <c r="Q44" s="3" t="n">
        <f aca="false">AVERAGE(Data!L129:L131)</f>
        <v>53.4578522078646</v>
      </c>
      <c r="R44" s="3" t="n">
        <f aca="false">AVERAGE(Data!M129:M131)</f>
        <v>99.4852000723914</v>
      </c>
      <c r="S44" s="3" t="n">
        <f aca="false">Q44/R44</f>
        <v>0.537344772578891</v>
      </c>
      <c r="T44" s="3" t="n">
        <v>18793111.3132441</v>
      </c>
      <c r="U44" s="3" t="n">
        <f aca="false">AB44+AE44+AG44</f>
        <v>5637.37531368027</v>
      </c>
      <c r="V44" s="3" t="n">
        <f aca="false">AC44+AF44+AH44</f>
        <v>5980.00142516376</v>
      </c>
      <c r="W44" s="3" t="n">
        <f aca="false">U44/V44</f>
        <v>0.942704677286242</v>
      </c>
      <c r="X44" s="1" t="n">
        <v>4563.6455952057</v>
      </c>
      <c r="Y44" s="1" t="n">
        <v>4824.15884380933</v>
      </c>
      <c r="Z44" s="1" t="n">
        <v>365.297655590702</v>
      </c>
      <c r="AA44" s="1" t="n">
        <v>754.696412674066</v>
      </c>
      <c r="AB44" s="3" t="n">
        <f aca="false">X44+Z44</f>
        <v>4928.9432507964</v>
      </c>
      <c r="AC44" s="3" t="n">
        <f aca="false">Y44+AA44</f>
        <v>5578.8552564834</v>
      </c>
      <c r="AD44" s="3" t="n">
        <f aca="false">AB44/AC44</f>
        <v>0.883504415187738</v>
      </c>
      <c r="AE44" s="1" t="n">
        <v>22.3236902038633</v>
      </c>
      <c r="AF44" s="1" t="n">
        <v>297.554432140359</v>
      </c>
      <c r="AG44" s="1" t="n">
        <v>686.10837268</v>
      </c>
      <c r="AH44" s="1" t="n">
        <v>103.59173654</v>
      </c>
      <c r="AI44" s="1" t="n">
        <v>27.33436</v>
      </c>
      <c r="AJ44" s="1" t="n">
        <v>2.6</v>
      </c>
      <c r="AK44" s="1" t="n">
        <v>5874.65774557699</v>
      </c>
      <c r="AL44" s="1" t="n">
        <v>2011.96465425784</v>
      </c>
      <c r="AM44" s="1" t="n">
        <v>3609.94385343078</v>
      </c>
      <c r="AN44" s="1" t="n">
        <v>2354.36583569163</v>
      </c>
      <c r="AQ44" s="3" t="n">
        <f aca="false">AG44-AH44</f>
        <v>582.51663614</v>
      </c>
    </row>
    <row r="45" customFormat="false" ht="15" hidden="false" customHeight="false" outlineLevel="0" collapsed="false">
      <c r="A45" s="5" t="n">
        <v>40422</v>
      </c>
      <c r="B45" s="1" t="n">
        <v>85.1949601713333</v>
      </c>
      <c r="C45" s="1" t="n">
        <v>217.494064395333</v>
      </c>
      <c r="D45" s="17" t="n">
        <f aca="false">SUM(Data!C132:C134)</f>
        <v>654.762</v>
      </c>
      <c r="E45" s="17" t="n">
        <f aca="false">SUM(Data!D132:D134)</f>
        <v>5834.76</v>
      </c>
      <c r="F45" s="17" t="n">
        <f aca="false">SUM(Data!E132:E134)</f>
        <v>5480.65</v>
      </c>
      <c r="G45" s="17" t="n">
        <f aca="false">E45/F45</f>
        <v>1.06461094943118</v>
      </c>
      <c r="H45" s="17" t="n">
        <f aca="false">E45/O45</f>
        <v>0.345760666533097</v>
      </c>
      <c r="I45" s="1" t="n">
        <v>5504.15402103</v>
      </c>
      <c r="J45" s="1" t="n">
        <v>-596.185513599</v>
      </c>
      <c r="K45" s="1" t="n">
        <v>4039.477758959</v>
      </c>
      <c r="L45" s="1" t="n">
        <v>5023.814717854</v>
      </c>
      <c r="M45" s="1" t="n">
        <v>-1004.920627941</v>
      </c>
      <c r="N45" s="1" t="n">
        <v>74.138646628</v>
      </c>
      <c r="O45" s="1" t="n">
        <v>16875.141</v>
      </c>
      <c r="P45" s="1" t="n">
        <v>73.8948279846667</v>
      </c>
      <c r="Q45" s="3" t="n">
        <f aca="false">AVERAGE(Data!L132:L134)</f>
        <v>53.5518323420101</v>
      </c>
      <c r="R45" s="3" t="n">
        <f aca="false">AVERAGE(Data!M132:M134)</f>
        <v>99.5779705172485</v>
      </c>
      <c r="S45" s="3" t="n">
        <f aca="false">Q45/R45</f>
        <v>0.537787947111596</v>
      </c>
      <c r="T45" s="3" t="n">
        <v>19572312.6237238</v>
      </c>
      <c r="U45" s="3" t="n">
        <f aca="false">AB45+AE45+AG45</f>
        <v>5428.90980290006</v>
      </c>
      <c r="V45" s="3" t="n">
        <f aca="false">AC45+AF45+AH45</f>
        <v>6320.98348804717</v>
      </c>
      <c r="W45" s="3" t="n">
        <f aca="false">U45/V45</f>
        <v>0.858871062258903</v>
      </c>
      <c r="X45" s="1" t="n">
        <v>4277.87601159755</v>
      </c>
      <c r="Y45" s="1" t="n">
        <v>5230.61021552791</v>
      </c>
      <c r="Z45" s="1" t="n">
        <v>374.895710610134</v>
      </c>
      <c r="AA45" s="1" t="n">
        <v>763.293851236795</v>
      </c>
      <c r="AB45" s="3" t="n">
        <f aca="false">X45+Z45</f>
        <v>4652.77172220768</v>
      </c>
      <c r="AC45" s="3" t="n">
        <f aca="false">Y45+AA45</f>
        <v>5993.90406676471</v>
      </c>
      <c r="AD45" s="3" t="n">
        <f aca="false">AB45/AC45</f>
        <v>0.77625061568913</v>
      </c>
      <c r="AE45" s="1" t="n">
        <v>18.4227468223762</v>
      </c>
      <c r="AF45" s="1" t="n">
        <v>218.370141442467</v>
      </c>
      <c r="AG45" s="1" t="n">
        <v>757.71533387</v>
      </c>
      <c r="AH45" s="1" t="n">
        <v>108.70927984</v>
      </c>
      <c r="AI45" s="1" t="n">
        <v>25.65405736</v>
      </c>
      <c r="AJ45" s="1" t="n">
        <v>2.6</v>
      </c>
      <c r="AK45" s="1" t="n">
        <v>5480.65591002</v>
      </c>
      <c r="AL45" s="1" t="n">
        <v>1884.22425801814</v>
      </c>
      <c r="AM45" s="1" t="n">
        <v>3320.98800201165</v>
      </c>
      <c r="AN45" s="1" t="n">
        <v>2140.53045238775</v>
      </c>
      <c r="AQ45" s="3" t="n">
        <f aca="false">AG45-AH45</f>
        <v>649.00605403</v>
      </c>
    </row>
    <row r="46" customFormat="false" ht="15" hidden="false" customHeight="false" outlineLevel="0" collapsed="false">
      <c r="A46" s="5" t="n">
        <v>40513</v>
      </c>
      <c r="B46" s="1" t="n">
        <v>85.9785088256667</v>
      </c>
      <c r="C46" s="1" t="n">
        <v>219.776532372</v>
      </c>
      <c r="D46" s="17" t="n">
        <f aca="false">SUM(Data!C135:C137)</f>
        <v>656.693</v>
      </c>
      <c r="E46" s="17" t="n">
        <f aca="false">SUM(Data!D135:D137)</f>
        <v>7493.1</v>
      </c>
      <c r="F46" s="17" t="n">
        <f aca="false">SUM(Data!E135:E137)</f>
        <v>6014.43</v>
      </c>
      <c r="G46" s="17" t="n">
        <f aca="false">E46/F46</f>
        <v>1.24585372179907</v>
      </c>
      <c r="H46" s="17" t="n">
        <f aca="false">E46/O46</f>
        <v>0.384708727832502</v>
      </c>
      <c r="I46" s="1" t="n">
        <v>6324.414609772</v>
      </c>
      <c r="J46" s="1" t="n">
        <v>243.450715338</v>
      </c>
      <c r="K46" s="1" t="n">
        <v>4979.296734531</v>
      </c>
      <c r="L46" s="1" t="n">
        <v>5261.261086377</v>
      </c>
      <c r="M46" s="1" t="n">
        <v>-328.367993368</v>
      </c>
      <c r="N46" s="1" t="n">
        <v>88.2815786026667</v>
      </c>
      <c r="O46" s="1" t="n">
        <v>19477.333</v>
      </c>
      <c r="P46" s="1" t="n">
        <v>74.574447917</v>
      </c>
      <c r="Q46" s="3" t="n">
        <f aca="false">AVERAGE(Data!L135:L137)</f>
        <v>53.9885696294854</v>
      </c>
      <c r="R46" s="3" t="n">
        <f aca="false">AVERAGE(Data!M135:M137)</f>
        <v>99.871642204165</v>
      </c>
      <c r="S46" s="3" t="n">
        <f aca="false">Q46/R46</f>
        <v>0.540579572318616</v>
      </c>
      <c r="T46" s="3" t="n">
        <v>22175371.6787465</v>
      </c>
      <c r="U46" s="3" t="n">
        <f aca="false">AB46+AE46+AG46</f>
        <v>6197.64229614063</v>
      </c>
      <c r="V46" s="3" t="n">
        <f aca="false">AC46+AF46+AH46</f>
        <v>6752.23988021101</v>
      </c>
      <c r="W46" s="3" t="n">
        <f aca="false">U46/V46</f>
        <v>0.917864650262833</v>
      </c>
      <c r="X46" s="1" t="n">
        <v>5003.22025452434</v>
      </c>
      <c r="Y46" s="1" t="n">
        <v>5473.03368160091</v>
      </c>
      <c r="Z46" s="1" t="n">
        <v>381.825782699278</v>
      </c>
      <c r="AA46" s="1" t="n">
        <v>786.031407480174</v>
      </c>
      <c r="AB46" s="3" t="n">
        <f aca="false">X46+Z46</f>
        <v>5385.04603722362</v>
      </c>
      <c r="AC46" s="3" t="n">
        <f aca="false">Y46+AA46</f>
        <v>6259.06508908109</v>
      </c>
      <c r="AD46" s="3" t="n">
        <f aca="false">AB46/AC46</f>
        <v>0.86035948829128</v>
      </c>
      <c r="AE46" s="1" t="n">
        <v>17.1420712470126</v>
      </c>
      <c r="AF46" s="1" t="n">
        <v>363.91654693992</v>
      </c>
      <c r="AG46" s="1" t="n">
        <v>795.45418767</v>
      </c>
      <c r="AH46" s="1" t="n">
        <v>129.25824419</v>
      </c>
      <c r="AI46" s="1" t="n">
        <v>37.25869368</v>
      </c>
      <c r="AJ46" s="1" t="n">
        <v>2.6</v>
      </c>
      <c r="AK46" s="1" t="n">
        <v>6014.42547201105</v>
      </c>
      <c r="AL46" s="1" t="n">
        <v>2024.71917480767</v>
      </c>
      <c r="AM46" s="1" t="n">
        <v>3512.82339891523</v>
      </c>
      <c r="AN46" s="1" t="n">
        <v>2064.45596537775</v>
      </c>
      <c r="AQ46" s="3" t="n">
        <f aca="false">AG46-AH46</f>
        <v>666.19594348</v>
      </c>
    </row>
    <row r="47" customFormat="false" ht="15" hidden="false" customHeight="false" outlineLevel="0" collapsed="false">
      <c r="A47" s="5" t="n">
        <v>40603</v>
      </c>
      <c r="B47" s="1" t="n">
        <v>86.9434178746667</v>
      </c>
      <c r="C47" s="1" t="n">
        <v>222.311344358</v>
      </c>
      <c r="D47" s="17" t="n">
        <f aca="false">SUM(Data!C138:C140)</f>
        <v>664.999</v>
      </c>
      <c r="E47" s="17" t="n">
        <f aca="false">SUM(Data!D138:D140)</f>
        <v>6539.28</v>
      </c>
      <c r="F47" s="17" t="n">
        <f aca="false">SUM(Data!E138:E140)</f>
        <v>6990.74</v>
      </c>
      <c r="G47" s="17" t="n">
        <f aca="false">E47/F47</f>
        <v>0.935420284547845</v>
      </c>
      <c r="H47" s="17" t="n">
        <f aca="false">E47/O47</f>
        <v>0.365845000588829</v>
      </c>
      <c r="I47" s="1" t="n">
        <v>7251.201768548</v>
      </c>
      <c r="J47" s="1" t="n">
        <v>-377.146749909</v>
      </c>
      <c r="K47" s="1" t="n">
        <v>5420.529274254</v>
      </c>
      <c r="L47" s="1" t="n">
        <v>5387.268640899</v>
      </c>
      <c r="M47" s="1" t="n">
        <v>37.01299523</v>
      </c>
      <c r="N47" s="1" t="n">
        <v>95.3006213456667</v>
      </c>
      <c r="O47" s="1" t="n">
        <v>17874.455</v>
      </c>
      <c r="P47" s="1" t="n">
        <v>75.4113728716667</v>
      </c>
      <c r="Q47" s="3" t="n">
        <f aca="false">AVERAGE(Data!L138:L140)</f>
        <v>54.8539716862241</v>
      </c>
      <c r="R47" s="3" t="n">
        <f aca="false">AVERAGE(Data!M138:M140)</f>
        <v>101.134841081186</v>
      </c>
      <c r="S47" s="3" t="n">
        <f aca="false">Q47/R47</f>
        <v>0.542384514572877</v>
      </c>
      <c r="T47" s="3" t="n">
        <v>19701481.1465811</v>
      </c>
      <c r="U47" s="3" t="n">
        <f aca="false">AB47+AE47+AG47</f>
        <v>6689.05783019397</v>
      </c>
      <c r="V47" s="3" t="n">
        <f aca="false">AC47+AF47+AH47</f>
        <v>6228.43342525023</v>
      </c>
      <c r="W47" s="3" t="n">
        <f aca="false">U47/V47</f>
        <v>1.07395509809519</v>
      </c>
      <c r="X47" s="1" t="n">
        <v>5531.02738645527</v>
      </c>
      <c r="Y47" s="1" t="n">
        <v>5131.44675519839</v>
      </c>
      <c r="Z47" s="1" t="n">
        <v>374.662777411677</v>
      </c>
      <c r="AA47" s="1" t="n">
        <v>773.517221937274</v>
      </c>
      <c r="AB47" s="3" t="n">
        <f aca="false">X47+Z47</f>
        <v>5905.69016386695</v>
      </c>
      <c r="AC47" s="3" t="n">
        <f aca="false">Y47+AA47</f>
        <v>5904.96397713566</v>
      </c>
      <c r="AD47" s="3" t="n">
        <f aca="false">AB47/AC47</f>
        <v>1.00012297902817</v>
      </c>
      <c r="AE47" s="1" t="n">
        <v>19.727296897026</v>
      </c>
      <c r="AF47" s="1" t="n">
        <v>267.401856986969</v>
      </c>
      <c r="AG47" s="1" t="n">
        <v>763.64036943</v>
      </c>
      <c r="AH47" s="1" t="n">
        <v>56.0675911276</v>
      </c>
      <c r="AI47" s="1" t="n">
        <v>35.641</v>
      </c>
      <c r="AJ47" s="1" t="n">
        <v>2.6</v>
      </c>
      <c r="AK47" s="1" t="n">
        <v>6990.74195699035</v>
      </c>
      <c r="AL47" s="1" t="n">
        <v>2917.19870870294</v>
      </c>
      <c r="AM47" s="1" t="n">
        <v>3628.32689022904</v>
      </c>
      <c r="AN47" s="1" t="n">
        <v>2213.54655462193</v>
      </c>
      <c r="AQ47" s="3" t="n">
        <f aca="false">AG47-AH47</f>
        <v>707.5727783024</v>
      </c>
    </row>
    <row r="48" customFormat="false" ht="15" hidden="false" customHeight="false" outlineLevel="0" collapsed="false">
      <c r="A48" s="5" t="n">
        <v>40695</v>
      </c>
      <c r="B48" s="1" t="n">
        <v>88.129961436</v>
      </c>
      <c r="C48" s="1" t="n">
        <v>224.747124541333</v>
      </c>
      <c r="D48" s="17" t="n">
        <f aca="false">SUM(Data!C141:C143)</f>
        <v>676.592</v>
      </c>
      <c r="E48" s="17" t="n">
        <f aca="false">SUM(Data!D141:D143)</f>
        <v>7432.91</v>
      </c>
      <c r="F48" s="17" t="n">
        <f aca="false">SUM(Data!E141:E143)</f>
        <v>8211</v>
      </c>
      <c r="G48" s="17" t="n">
        <f aca="false">E48/F48</f>
        <v>0.905238095238095</v>
      </c>
      <c r="H48" s="17" t="n">
        <f aca="false">E48/O48</f>
        <v>0.390710574102866</v>
      </c>
      <c r="I48" s="1" t="n">
        <v>7588.014904374</v>
      </c>
      <c r="J48" s="1" t="n">
        <v>81.691798502</v>
      </c>
      <c r="K48" s="1" t="n">
        <v>5542.110697316</v>
      </c>
      <c r="L48" s="1" t="n">
        <v>5814.5086584</v>
      </c>
      <c r="M48" s="1" t="n">
        <v>-197.580267058</v>
      </c>
      <c r="N48" s="1" t="n">
        <v>100.035984799</v>
      </c>
      <c r="O48" s="1" t="n">
        <v>19024.082</v>
      </c>
      <c r="P48" s="1" t="n">
        <v>76.4405350683334</v>
      </c>
      <c r="Q48" s="3" t="n">
        <f aca="false">AVERAGE(Data!L141:L143)</f>
        <v>55.6653267026564</v>
      </c>
      <c r="R48" s="3" t="n">
        <f aca="false">AVERAGE(Data!M141:M143)</f>
        <v>102.897935781561</v>
      </c>
      <c r="S48" s="3" t="n">
        <f aca="false">Q48/R48</f>
        <v>0.540976126293016</v>
      </c>
      <c r="T48" s="3" t="n">
        <v>20583918.7072556</v>
      </c>
      <c r="U48" s="3" t="n">
        <f aca="false">AB48+AE48+AG48</f>
        <v>7072.45990084475</v>
      </c>
      <c r="V48" s="3" t="n">
        <f aca="false">AC48+AF48+AH48</f>
        <v>7100.11842962638</v>
      </c>
      <c r="W48" s="3" t="n">
        <f aca="false">U48/V48</f>
        <v>0.996104497543841</v>
      </c>
      <c r="X48" s="1" t="n">
        <v>5889.69570046137</v>
      </c>
      <c r="Y48" s="1" t="n">
        <v>5872.21377470377</v>
      </c>
      <c r="Z48" s="1" t="n">
        <v>384.791422798217</v>
      </c>
      <c r="AA48" s="1" t="n">
        <v>786.536732354031</v>
      </c>
      <c r="AB48" s="3" t="n">
        <f aca="false">X48+Z48</f>
        <v>6274.48712325959</v>
      </c>
      <c r="AC48" s="3" t="n">
        <f aca="false">Y48+AA48</f>
        <v>6658.7505070578</v>
      </c>
      <c r="AD48" s="3" t="n">
        <f aca="false">AB48/AC48</f>
        <v>0.942291968532096</v>
      </c>
      <c r="AE48" s="1" t="n">
        <v>18.9014484151665</v>
      </c>
      <c r="AF48" s="1" t="n">
        <v>378.91910710858</v>
      </c>
      <c r="AG48" s="1" t="n">
        <v>779.07132917</v>
      </c>
      <c r="AH48" s="1" t="n">
        <v>62.44881546</v>
      </c>
      <c r="AI48" s="1" t="n">
        <v>30.45</v>
      </c>
      <c r="AJ48" s="1" t="n">
        <v>2.6</v>
      </c>
      <c r="AK48" s="1" t="n">
        <v>8210.99945750185</v>
      </c>
      <c r="AL48" s="1" t="n">
        <v>3492.77602290519</v>
      </c>
      <c r="AM48" s="1" t="n">
        <v>4334.99746975947</v>
      </c>
      <c r="AN48" s="1" t="n">
        <v>2677.37913834</v>
      </c>
      <c r="AQ48" s="3" t="n">
        <f aca="false">AG48-AH48</f>
        <v>716.62251371</v>
      </c>
    </row>
    <row r="49" customFormat="false" ht="15" hidden="false" customHeight="false" outlineLevel="0" collapsed="false">
      <c r="A49" s="5" t="n">
        <v>40787</v>
      </c>
      <c r="B49" s="1" t="n">
        <v>89.3810996773333</v>
      </c>
      <c r="C49" s="1" t="n">
        <v>225.757760357333</v>
      </c>
      <c r="D49" s="17" t="n">
        <f aca="false">SUM(Data!C144:C146)</f>
        <v>679.356</v>
      </c>
      <c r="E49" s="17" t="n">
        <f aca="false">SUM(Data!D144:D146)</f>
        <v>7597.49</v>
      </c>
      <c r="F49" s="17" t="n">
        <f aca="false">SUM(Data!E144:E146)</f>
        <v>7891.74</v>
      </c>
      <c r="G49" s="17" t="n">
        <f aca="false">E49/F49</f>
        <v>0.962714179635923</v>
      </c>
      <c r="H49" s="17" t="n">
        <f aca="false">E49/O49</f>
        <v>0.386321962443913</v>
      </c>
      <c r="I49" s="1" t="n">
        <v>7924.464730963</v>
      </c>
      <c r="J49" s="1" t="n">
        <v>32.442442243</v>
      </c>
      <c r="K49" s="1" t="n">
        <v>5525.00983237</v>
      </c>
      <c r="L49" s="1" t="n">
        <v>5781.056441495</v>
      </c>
      <c r="M49" s="1" t="n">
        <v>-262.911276758</v>
      </c>
      <c r="N49" s="1" t="n">
        <v>87.968773508</v>
      </c>
      <c r="O49" s="1" t="n">
        <v>19666.213</v>
      </c>
      <c r="P49" s="1" t="n">
        <v>77.5257242033333</v>
      </c>
      <c r="Q49" s="3" t="n">
        <f aca="false">AVERAGE(Data!L144:L146)</f>
        <v>56.1709743854373</v>
      </c>
      <c r="R49" s="3" t="n">
        <f aca="false">AVERAGE(Data!M144:M146)</f>
        <v>103.318292354651</v>
      </c>
      <c r="S49" s="3" t="n">
        <f aca="false">Q49/R49</f>
        <v>0.543669210023569</v>
      </c>
      <c r="T49" s="3" t="n">
        <v>21361932.1803349</v>
      </c>
      <c r="U49" s="3" t="n">
        <f aca="false">AB49+AE49+AG49</f>
        <v>6956.64739986631</v>
      </c>
      <c r="V49" s="3" t="n">
        <f aca="false">AC49+AF49+AH49</f>
        <v>7123.93951112133</v>
      </c>
      <c r="W49" s="3" t="n">
        <f aca="false">U49/V49</f>
        <v>0.976516910202023</v>
      </c>
      <c r="X49" s="1" t="n">
        <v>5795.48455088762</v>
      </c>
      <c r="Y49" s="1" t="n">
        <v>5986.9523074115</v>
      </c>
      <c r="Z49" s="1" t="n">
        <v>404.036902466735</v>
      </c>
      <c r="AA49" s="1" t="n">
        <v>791.901959892091</v>
      </c>
      <c r="AB49" s="3" t="n">
        <f aca="false">X49+Z49</f>
        <v>6199.52145335436</v>
      </c>
      <c r="AC49" s="3" t="n">
        <f aca="false">Y49+AA49</f>
        <v>6778.85426730359</v>
      </c>
      <c r="AD49" s="3" t="n">
        <f aca="false">AB49/AC49</f>
        <v>0.914538240371455</v>
      </c>
      <c r="AE49" s="1" t="n">
        <v>20.0576161219566</v>
      </c>
      <c r="AF49" s="1" t="n">
        <v>275.276931877738</v>
      </c>
      <c r="AG49" s="1" t="n">
        <v>737.06833039</v>
      </c>
      <c r="AH49" s="1" t="n">
        <v>69.80831194</v>
      </c>
      <c r="AI49" s="1" t="n">
        <v>22.422</v>
      </c>
      <c r="AJ49" s="1" t="n">
        <v>2.6</v>
      </c>
      <c r="AK49" s="1" t="n">
        <v>7891.73079982826</v>
      </c>
      <c r="AL49" s="1" t="n">
        <v>3301.48745313511</v>
      </c>
      <c r="AM49" s="1" t="n">
        <v>4128.16651855959</v>
      </c>
      <c r="AN49" s="1" t="n">
        <v>2375.16496851</v>
      </c>
      <c r="AQ49" s="3" t="n">
        <f aca="false">AG49-AH49</f>
        <v>667.26001845</v>
      </c>
    </row>
    <row r="50" customFormat="false" ht="15" hidden="false" customHeight="false" outlineLevel="0" collapsed="false">
      <c r="A50" s="5" t="n">
        <v>40878</v>
      </c>
      <c r="B50" s="1" t="n">
        <v>90.625336205</v>
      </c>
      <c r="C50" s="1" t="n">
        <v>226.960563421667</v>
      </c>
      <c r="D50" s="17" t="n">
        <f aca="false">SUM(Data!C147:C149)</f>
        <v>678.323</v>
      </c>
      <c r="E50" s="17" t="n">
        <f aca="false">SUM(Data!D147:D149)</f>
        <v>9720.57</v>
      </c>
      <c r="F50" s="17" t="n">
        <f aca="false">SUM(Data!E147:E149)</f>
        <v>8096.31</v>
      </c>
      <c r="G50" s="17" t="n">
        <f aca="false">E50/F50</f>
        <v>1.2006173182598</v>
      </c>
      <c r="H50" s="17" t="n">
        <f aca="false">E50/O50</f>
        <v>0.43353020337529</v>
      </c>
      <c r="I50" s="1" t="n">
        <v>8600.822876792</v>
      </c>
      <c r="J50" s="1" t="n">
        <v>330.893672635</v>
      </c>
      <c r="K50" s="1" t="n">
        <v>5842.719487036</v>
      </c>
      <c r="L50" s="1" t="n">
        <v>6147.215215123</v>
      </c>
      <c r="M50" s="1" t="n">
        <v>-406.614360577</v>
      </c>
      <c r="N50" s="1" t="n">
        <v>97.0851380086667</v>
      </c>
      <c r="O50" s="1" t="n">
        <v>22421.898</v>
      </c>
      <c r="P50" s="1" t="n">
        <v>78.604927058</v>
      </c>
      <c r="Q50" s="3" t="n">
        <f aca="false">AVERAGE(Data!L147:L149)</f>
        <v>56.946759977644</v>
      </c>
      <c r="R50" s="3" t="n">
        <f aca="false">AVERAGE(Data!M147:M149)</f>
        <v>103.16119092918</v>
      </c>
      <c r="S50" s="3" t="n">
        <f aca="false">Q50/R50</f>
        <v>0.552017279606028</v>
      </c>
      <c r="T50" s="3" t="n">
        <v>23755498.5258008</v>
      </c>
      <c r="U50" s="3" t="n">
        <f aca="false">AB50+AE50+AG50</f>
        <v>7020.86602802942</v>
      </c>
      <c r="V50" s="3" t="n">
        <f aca="false">AC50+AF50+AH50</f>
        <v>7686.22095269565</v>
      </c>
      <c r="W50" s="3" t="n">
        <f aca="false">U50/V50</f>
        <v>0.913435363260943</v>
      </c>
      <c r="X50" s="1" t="n">
        <v>5866.1153863716</v>
      </c>
      <c r="Y50" s="1" t="n">
        <v>6394.32435552876</v>
      </c>
      <c r="Z50" s="1" t="n">
        <v>423.978991505967</v>
      </c>
      <c r="AA50" s="1" t="n">
        <v>798.215393262935</v>
      </c>
      <c r="AB50" s="3" t="n">
        <f aca="false">X50+Z50</f>
        <v>6290.09437787757</v>
      </c>
      <c r="AC50" s="3" t="n">
        <f aca="false">Y50+AA50</f>
        <v>7192.5397487917</v>
      </c>
      <c r="AD50" s="3" t="n">
        <f aca="false">AB50/AC50</f>
        <v>0.874530360285359</v>
      </c>
      <c r="AE50" s="1" t="n">
        <v>25.7785000018505</v>
      </c>
      <c r="AF50" s="1" t="n">
        <v>419.628464383953</v>
      </c>
      <c r="AG50" s="1" t="n">
        <v>704.99315015</v>
      </c>
      <c r="AH50" s="1" t="n">
        <v>74.05273952</v>
      </c>
      <c r="AI50" s="1" t="n">
        <v>20.66854704</v>
      </c>
      <c r="AJ50" s="1" t="n">
        <v>2.6</v>
      </c>
      <c r="AK50" s="1" t="n">
        <v>8096.30080227447</v>
      </c>
      <c r="AL50" s="1" t="n">
        <v>3223.13955604718</v>
      </c>
      <c r="AM50" s="1" t="n">
        <v>4397.41614593399</v>
      </c>
      <c r="AN50" s="1" t="n">
        <v>2498.88781254</v>
      </c>
      <c r="AQ50" s="3" t="n">
        <f aca="false">AG50-AH50</f>
        <v>630.94041063</v>
      </c>
    </row>
    <row r="51" customFormat="false" ht="15" hidden="false" customHeight="false" outlineLevel="0" collapsed="false">
      <c r="A51" s="5" t="n">
        <v>40969</v>
      </c>
      <c r="B51" s="1" t="n">
        <v>91.8504084296667</v>
      </c>
      <c r="C51" s="1" t="n">
        <v>228.4976201</v>
      </c>
      <c r="D51" s="17" t="n">
        <f aca="false">SUM(Data!C150:C152)</f>
        <v>683.72</v>
      </c>
      <c r="E51" s="17" t="n">
        <f aca="false">SUM(Data!D150:D152)</f>
        <v>8126.412</v>
      </c>
      <c r="F51" s="17" t="n">
        <f aca="false">SUM(Data!E150:E152)</f>
        <v>9173.692</v>
      </c>
      <c r="G51" s="17" t="n">
        <f aca="false">E51/F51</f>
        <v>0.885838765897089</v>
      </c>
      <c r="H51" s="17" t="n">
        <f aca="false">E51/O51</f>
        <v>0.394686869050886</v>
      </c>
      <c r="I51" s="1" t="n">
        <v>9411.389457026</v>
      </c>
      <c r="J51" s="1" t="n">
        <v>153.400677654</v>
      </c>
      <c r="K51" s="1" t="n">
        <v>6284.590862712</v>
      </c>
      <c r="L51" s="1" t="n">
        <v>6103.339927361</v>
      </c>
      <c r="M51" s="1" t="n">
        <v>111.72184243</v>
      </c>
      <c r="N51" s="1" t="n">
        <v>103.587109337</v>
      </c>
      <c r="O51" s="1" t="n">
        <v>20589.517</v>
      </c>
      <c r="P51" s="1" t="n">
        <v>79.6675075336667</v>
      </c>
      <c r="Q51" s="3" t="n">
        <f aca="false">AVERAGE(Data!L150:L152)</f>
        <v>57.9512230492855</v>
      </c>
      <c r="R51" s="3" t="n">
        <f aca="false">AVERAGE(Data!M150:M152)</f>
        <v>103.98198124212</v>
      </c>
      <c r="S51" s="3" t="n">
        <f aca="false">Q51/R51</f>
        <v>0.55731985827763</v>
      </c>
      <c r="T51" s="3" t="n">
        <v>21097535.2650488</v>
      </c>
      <c r="U51" s="3" t="n">
        <f aca="false">AB51+AE51+AG51</f>
        <v>7586.05222492006</v>
      </c>
      <c r="V51" s="3" t="n">
        <f aca="false">AC51+AF51+AH51</f>
        <v>6986.95520907401</v>
      </c>
      <c r="W51" s="3" t="n">
        <f aca="false">U51/V51</f>
        <v>1.08574507749355</v>
      </c>
      <c r="X51" s="1" t="n">
        <v>6414.628543864</v>
      </c>
      <c r="Y51" s="1" t="n">
        <v>5818.32573249293</v>
      </c>
      <c r="Z51" s="1" t="n">
        <v>434.607292685676</v>
      </c>
      <c r="AA51" s="1" t="n">
        <v>785.879678711735</v>
      </c>
      <c r="AB51" s="3" t="n">
        <f aca="false">X51+Z51</f>
        <v>6849.23583654968</v>
      </c>
      <c r="AC51" s="3" t="n">
        <f aca="false">Y51+AA51</f>
        <v>6604.20541120467</v>
      </c>
      <c r="AD51" s="3" t="n">
        <f aca="false">AB51/AC51</f>
        <v>1.03710218112376</v>
      </c>
      <c r="AE51" s="1" t="n">
        <v>25.2340387903794</v>
      </c>
      <c r="AF51" s="1" t="n">
        <v>319.692489774449</v>
      </c>
      <c r="AG51" s="1" t="n">
        <v>711.58234958</v>
      </c>
      <c r="AH51" s="1" t="n">
        <v>63.0573080949</v>
      </c>
      <c r="AI51" s="1" t="n">
        <v>36.547</v>
      </c>
      <c r="AJ51" s="1" t="n">
        <v>2.7</v>
      </c>
      <c r="AK51" s="1" t="n">
        <v>9019.25865770511</v>
      </c>
      <c r="AL51" s="1" t="n">
        <v>4246.36781341033</v>
      </c>
      <c r="AM51" s="1" t="n">
        <v>4772.89084429479</v>
      </c>
      <c r="AN51" s="1" t="n">
        <v>2830.3177451919</v>
      </c>
      <c r="AQ51" s="3" t="n">
        <f aca="false">AG51-AH51</f>
        <v>648.5250414851</v>
      </c>
    </row>
    <row r="52" customFormat="false" ht="15" hidden="false" customHeight="false" outlineLevel="0" collapsed="false">
      <c r="A52" s="5" t="n">
        <v>41061</v>
      </c>
      <c r="B52" s="1" t="n">
        <v>92.6746220983333</v>
      </c>
      <c r="C52" s="1" t="n">
        <v>229.022975011333</v>
      </c>
      <c r="D52" s="17" t="n">
        <f aca="false">SUM(Data!C153:C155)</f>
        <v>689.378</v>
      </c>
      <c r="E52" s="17" t="n">
        <f aca="false">SUM(Data!D153:D155)</f>
        <v>8949.305</v>
      </c>
      <c r="F52" s="17" t="n">
        <f aca="false">SUM(Data!E153:E155)</f>
        <v>9859.405</v>
      </c>
      <c r="G52" s="17" t="n">
        <f aca="false">E52/F52</f>
        <v>0.907692198464309</v>
      </c>
      <c r="H52" s="17" t="n">
        <f aca="false">E52/O52</f>
        <v>0.425211831328601</v>
      </c>
      <c r="I52" s="1" t="n">
        <v>9058.098295251</v>
      </c>
      <c r="J52" s="1" t="n">
        <v>93.631264568</v>
      </c>
      <c r="K52" s="1" t="n">
        <v>5909.433108994</v>
      </c>
      <c r="L52" s="1" t="n">
        <v>6084.609843692</v>
      </c>
      <c r="M52" s="1" t="n">
        <v>-118.932556157</v>
      </c>
      <c r="N52" s="1" t="n">
        <v>91.796452991</v>
      </c>
      <c r="O52" s="1" t="n">
        <v>21046.698</v>
      </c>
      <c r="P52" s="1" t="n">
        <v>80.382398733</v>
      </c>
      <c r="Q52" s="3" t="n">
        <f aca="false">AVERAGE(Data!L153:L155)</f>
        <v>58.4988118973657</v>
      </c>
      <c r="R52" s="3" t="n">
        <f aca="false">AVERAGE(Data!M153:M155)</f>
        <v>104.842465138844</v>
      </c>
      <c r="S52" s="3" t="n">
        <f aca="false">Q52/R52</f>
        <v>0.557968680151646</v>
      </c>
      <c r="T52" s="3" t="n">
        <v>21753840.2504491</v>
      </c>
      <c r="U52" s="3" t="n">
        <f aca="false">AB52+AE52+AG52</f>
        <v>7434.33370383009</v>
      </c>
      <c r="V52" s="3" t="n">
        <f aca="false">AC52+AF52+AH52</f>
        <v>7424.13107326484</v>
      </c>
      <c r="W52" s="3" t="n">
        <f aca="false">U52/V52</f>
        <v>1.0013742524835</v>
      </c>
      <c r="X52" s="1" t="n">
        <v>6247.41742195414</v>
      </c>
      <c r="Y52" s="1" t="n">
        <v>6159.06159063348</v>
      </c>
      <c r="Z52" s="1" t="n">
        <v>448.412117624371</v>
      </c>
      <c r="AA52" s="1" t="n">
        <v>814.307977775842</v>
      </c>
      <c r="AB52" s="3" t="n">
        <f aca="false">X52+Z52</f>
        <v>6695.82953957851</v>
      </c>
      <c r="AC52" s="3" t="n">
        <f aca="false">Y52+AA52</f>
        <v>6973.36956840932</v>
      </c>
      <c r="AD52" s="3" t="n">
        <f aca="false">AB52/AC52</f>
        <v>0.960200011471051</v>
      </c>
      <c r="AE52" s="1" t="n">
        <v>26.808485781578</v>
      </c>
      <c r="AF52" s="1" t="n">
        <v>378.469257885518</v>
      </c>
      <c r="AG52" s="1" t="n">
        <v>711.69567847</v>
      </c>
      <c r="AH52" s="1" t="n">
        <v>72.29224697</v>
      </c>
      <c r="AI52" s="1" t="n">
        <v>29.538</v>
      </c>
      <c r="AJ52" s="1" t="n">
        <v>2.7</v>
      </c>
      <c r="AK52" s="1" t="n">
        <v>9665.6654141294</v>
      </c>
      <c r="AL52" s="1" t="n">
        <v>4223.84593237036</v>
      </c>
      <c r="AM52" s="1" t="n">
        <v>5441.81948175903</v>
      </c>
      <c r="AN52" s="1" t="n">
        <v>3361.53050022</v>
      </c>
      <c r="AQ52" s="3" t="n">
        <f aca="false">AG52-AH52</f>
        <v>639.4034315</v>
      </c>
    </row>
    <row r="53" customFormat="false" ht="15" hidden="false" customHeight="false" outlineLevel="0" collapsed="false">
      <c r="A53" s="5" t="n">
        <v>41153</v>
      </c>
      <c r="B53" s="1" t="n">
        <v>93.8947787026667</v>
      </c>
      <c r="C53" s="1" t="n">
        <v>229.653003193667</v>
      </c>
      <c r="D53" s="17" t="n">
        <f aca="false">SUM(Data!C156:C158)</f>
        <v>690.89</v>
      </c>
      <c r="E53" s="17" t="n">
        <f aca="false">SUM(Data!D156:D158)</f>
        <v>9241.077</v>
      </c>
      <c r="F53" s="17" t="n">
        <f aca="false">SUM(Data!E156:E158)</f>
        <v>9157.247</v>
      </c>
      <c r="G53" s="17" t="n">
        <f aca="false">E53/F53</f>
        <v>1.00915449807131</v>
      </c>
      <c r="H53" s="17" t="n">
        <f aca="false">E53/O53</f>
        <v>0.421857284144603</v>
      </c>
      <c r="I53" s="1" t="n">
        <v>9281.275708954</v>
      </c>
      <c r="J53" s="1" t="n">
        <v>-404.507120927</v>
      </c>
      <c r="K53" s="1" t="n">
        <v>5850.406835547</v>
      </c>
      <c r="L53" s="1" t="n">
        <v>6233.79542649</v>
      </c>
      <c r="M53" s="1" t="n">
        <v>-363.893270578</v>
      </c>
      <c r="N53" s="1" t="n">
        <v>90.196779986</v>
      </c>
      <c r="O53" s="1" t="n">
        <v>21905.695</v>
      </c>
      <c r="P53" s="1" t="n">
        <v>81.4407155886667</v>
      </c>
      <c r="Q53" s="3" t="n">
        <f aca="false">AVERAGE(Data!L156:L158)</f>
        <v>59.0150584324894</v>
      </c>
      <c r="R53" s="3" t="n">
        <f aca="false">AVERAGE(Data!M156:M158)</f>
        <v>105.072414175932</v>
      </c>
      <c r="S53" s="3" t="n">
        <f aca="false">Q53/R53</f>
        <v>0.561660821209221</v>
      </c>
      <c r="T53" s="3" t="n">
        <v>22538013.4960187</v>
      </c>
      <c r="U53" s="3" t="n">
        <f aca="false">AB53+AE53+AG53</f>
        <v>7256.48376184948</v>
      </c>
      <c r="V53" s="3" t="n">
        <f aca="false">AC53+AF53+AH53</f>
        <v>7566.52897183408</v>
      </c>
      <c r="W53" s="3" t="n">
        <f aca="false">U53/V53</f>
        <v>0.95902411645568</v>
      </c>
      <c r="X53" s="1" t="n">
        <v>6109.69970114373</v>
      </c>
      <c r="Y53" s="1" t="n">
        <v>6413.51615329464</v>
      </c>
      <c r="Z53" s="1" t="n">
        <v>455.1593562107</v>
      </c>
      <c r="AA53" s="1" t="n">
        <v>796.91175696463</v>
      </c>
      <c r="AB53" s="3" t="n">
        <f aca="false">X53+Z53</f>
        <v>6564.85905735443</v>
      </c>
      <c r="AC53" s="3" t="n">
        <f aca="false">Y53+AA53</f>
        <v>7210.42791025927</v>
      </c>
      <c r="AD53" s="3" t="n">
        <f aca="false">AB53/AC53</f>
        <v>0.910467331351264</v>
      </c>
      <c r="AE53" s="1" t="n">
        <v>24.8942738650496</v>
      </c>
      <c r="AF53" s="1" t="n">
        <v>288.981373924807</v>
      </c>
      <c r="AG53" s="1" t="n">
        <v>666.73043063</v>
      </c>
      <c r="AH53" s="1" t="n">
        <v>67.11968765</v>
      </c>
      <c r="AI53" s="1" t="n">
        <v>19.512</v>
      </c>
      <c r="AJ53" s="1" t="n">
        <v>2.7</v>
      </c>
      <c r="AK53" s="1" t="n">
        <v>8578.34750963907</v>
      </c>
      <c r="AL53" s="1" t="n">
        <v>3461.86977197539</v>
      </c>
      <c r="AM53" s="1" t="n">
        <v>5116.47773766368</v>
      </c>
      <c r="AN53" s="1" t="n">
        <v>3016.8324560216</v>
      </c>
      <c r="AQ53" s="3" t="n">
        <f aca="false">AG53-AH53</f>
        <v>599.61074298</v>
      </c>
    </row>
    <row r="54" customFormat="false" ht="15" hidden="false" customHeight="false" outlineLevel="0" collapsed="false">
      <c r="A54" s="5" t="n">
        <v>41244</v>
      </c>
      <c r="B54" s="1" t="n">
        <v>94.7701801476667</v>
      </c>
      <c r="C54" s="1" t="n">
        <v>231.195056904333</v>
      </c>
      <c r="D54" s="17" t="n">
        <f aca="false">SUM(Data!C159:C161)</f>
        <v>691.139</v>
      </c>
      <c r="E54" s="17" t="n">
        <f aca="false">SUM(Data!D159:D161)</f>
        <v>11648.31</v>
      </c>
      <c r="F54" s="17" t="n">
        <f aca="false">SUM(Data!E159:E161)</f>
        <v>8950.74</v>
      </c>
      <c r="G54" s="17" t="n">
        <f aca="false">E54/F54</f>
        <v>1.30137955074106</v>
      </c>
      <c r="H54" s="17" t="n">
        <f aca="false">E54/O54</f>
        <v>0.481471647043058</v>
      </c>
      <c r="I54" s="1" t="n">
        <v>9247.579031837</v>
      </c>
      <c r="J54" s="1" t="n">
        <v>-521.65824326</v>
      </c>
      <c r="K54" s="1" t="n">
        <v>5731.50786188</v>
      </c>
      <c r="L54" s="1" t="n">
        <v>5790.993231289</v>
      </c>
      <c r="M54" s="1" t="n">
        <v>-132.527939433</v>
      </c>
      <c r="N54" s="1" t="n">
        <v>90.79032524</v>
      </c>
      <c r="O54" s="1" t="n">
        <v>24193.138</v>
      </c>
      <c r="P54" s="1" t="n">
        <v>82.2000050943333</v>
      </c>
      <c r="Q54" s="3" t="n">
        <f aca="false">AVERAGE(Data!L159:L161)</f>
        <v>59.5812786470405</v>
      </c>
      <c r="R54" s="3" t="n">
        <f aca="false">AVERAGE(Data!M159:M161)</f>
        <v>105.110282767358</v>
      </c>
      <c r="S54" s="3" t="n">
        <f aca="false">Q54/R54</f>
        <v>0.566845384470257</v>
      </c>
      <c r="T54" s="3" t="n">
        <v>24952468.2484328</v>
      </c>
      <c r="U54" s="3" t="n">
        <f aca="false">AB54+AE54+AG54</f>
        <v>6957.53921243169</v>
      </c>
      <c r="V54" s="3" t="n">
        <f aca="false">AC54+AF54+AH54</f>
        <v>7400.4198283652</v>
      </c>
      <c r="W54" s="3" t="n">
        <f aca="false">U54/V54</f>
        <v>0.940154663356262</v>
      </c>
      <c r="X54" s="1" t="n">
        <v>5797.15265614716</v>
      </c>
      <c r="Y54" s="1" t="n">
        <v>6128.04543263336</v>
      </c>
      <c r="Z54" s="1" t="n">
        <v>465.833866695797</v>
      </c>
      <c r="AA54" s="1" t="n">
        <v>801.252658210473</v>
      </c>
      <c r="AB54" s="3" t="n">
        <f aca="false">X54+Z54</f>
        <v>6262.98652284296</v>
      </c>
      <c r="AC54" s="3" t="n">
        <f aca="false">Y54+AA54</f>
        <v>6929.29809084383</v>
      </c>
      <c r="AD54" s="3" t="n">
        <f aca="false">AB54/AC54</f>
        <v>0.903841405108359</v>
      </c>
      <c r="AE54" s="1" t="n">
        <v>27.9887212287332</v>
      </c>
      <c r="AF54" s="1" t="n">
        <v>397.199615881368</v>
      </c>
      <c r="AG54" s="1" t="n">
        <v>666.56396836</v>
      </c>
      <c r="AH54" s="1" t="n">
        <v>73.92212164</v>
      </c>
      <c r="AI54" s="1" t="n">
        <v>63.10863992</v>
      </c>
      <c r="AJ54" s="1" t="n">
        <v>2.7</v>
      </c>
      <c r="AK54" s="1" t="n">
        <v>8067.40332037741</v>
      </c>
      <c r="AL54" s="1" t="n">
        <v>3075.9620546811</v>
      </c>
      <c r="AM54" s="1" t="n">
        <v>4991.4412656963</v>
      </c>
      <c r="AN54" s="1" t="n">
        <v>2962.2994562773</v>
      </c>
      <c r="AQ54" s="3" t="n">
        <f aca="false">AG54-AH54</f>
        <v>592.64184672</v>
      </c>
    </row>
    <row r="55" customFormat="false" ht="15" hidden="false" customHeight="false" outlineLevel="0" collapsed="false">
      <c r="A55" s="5" t="n">
        <v>41334</v>
      </c>
      <c r="B55" s="1" t="n">
        <v>95.1094637893333</v>
      </c>
      <c r="C55" s="1" t="n">
        <v>232.334465923333</v>
      </c>
      <c r="D55" s="17" t="n">
        <f aca="false">SUM(Data!C162:C164)</f>
        <v>695.219</v>
      </c>
      <c r="E55" s="17" t="n">
        <f aca="false">SUM(Data!D162:D164)</f>
        <v>9341.585</v>
      </c>
      <c r="F55" s="17" t="n">
        <f aca="false">SUM(Data!E162:E164)</f>
        <v>9318.245</v>
      </c>
      <c r="G55" s="17" t="n">
        <f aca="false">E55/F55</f>
        <v>1.00250476350429</v>
      </c>
      <c r="H55" s="17" t="n">
        <f aca="false">E55/O55</f>
        <v>0.423367277186501</v>
      </c>
      <c r="I55" s="1" t="n">
        <v>9781.332060242</v>
      </c>
      <c r="J55" s="1" t="n">
        <v>-979.902607328</v>
      </c>
      <c r="K55" s="1" t="n">
        <v>6254.499896103</v>
      </c>
      <c r="L55" s="1" t="n">
        <v>6648.575245935</v>
      </c>
      <c r="M55" s="1" t="n">
        <v>-317.092627882</v>
      </c>
      <c r="N55" s="1" t="n">
        <v>95.369949018</v>
      </c>
      <c r="O55" s="1" t="n">
        <v>22064.967</v>
      </c>
      <c r="P55" s="1" t="n">
        <v>82.494286661</v>
      </c>
      <c r="Q55" s="3" t="n">
        <f aca="false">AVERAGE(Data!L162:L164)</f>
        <v>59.9956969878125</v>
      </c>
      <c r="R55" s="3" t="n">
        <f aca="false">AVERAGE(Data!M162:M164)</f>
        <v>105.730780169025</v>
      </c>
      <c r="S55" s="3" t="n">
        <f aca="false">Q55/R55</f>
        <v>0.56743832677581</v>
      </c>
      <c r="T55" s="3" t="n">
        <v>22232256.7239382</v>
      </c>
      <c r="U55" s="3" t="n">
        <f aca="false">AB55+AE55+AG55</f>
        <v>7542.094728227</v>
      </c>
      <c r="V55" s="3" t="n">
        <f aca="false">AC55+AF55+AH55</f>
        <v>7608.68369673128</v>
      </c>
      <c r="W55" s="3" t="n">
        <f aca="false">U55/V55</f>
        <v>0.99124829324514</v>
      </c>
      <c r="X55" s="1" t="n">
        <v>6380.02717817995</v>
      </c>
      <c r="Y55" s="1" t="n">
        <v>6379.28064679194</v>
      </c>
      <c r="Z55" s="1" t="n">
        <v>486.160901843866</v>
      </c>
      <c r="AA55" s="1" t="n">
        <v>846.633373361943</v>
      </c>
      <c r="AB55" s="3" t="n">
        <f aca="false">X55+Z55</f>
        <v>6866.18808002382</v>
      </c>
      <c r="AC55" s="3" t="n">
        <f aca="false">Y55+AA55</f>
        <v>7225.91402015388</v>
      </c>
      <c r="AD55" s="3" t="n">
        <f aca="false">AB55/AC55</f>
        <v>0.950217240458888</v>
      </c>
      <c r="AE55" s="1" t="n">
        <v>28.5236136131878</v>
      </c>
      <c r="AF55" s="1" t="n">
        <v>325.231528157397</v>
      </c>
      <c r="AG55" s="1" t="n">
        <v>647.38303459</v>
      </c>
      <c r="AH55" s="1" t="n">
        <v>57.53814842</v>
      </c>
      <c r="AI55" s="1" t="n">
        <v>31.8252</v>
      </c>
      <c r="AJ55" s="1" t="n">
        <v>2.7</v>
      </c>
      <c r="AK55" s="1" t="n">
        <v>8815.1185323058</v>
      </c>
      <c r="AL55" s="1" t="n">
        <v>3442.51518796267</v>
      </c>
      <c r="AM55" s="1" t="n">
        <v>5372.60334434313</v>
      </c>
      <c r="AN55" s="1" t="n">
        <v>3238.07139221814</v>
      </c>
      <c r="AQ55" s="3" t="n">
        <f aca="false">AG55-AH55</f>
        <v>589.84488617</v>
      </c>
    </row>
    <row r="56" customFormat="false" ht="15" hidden="false" customHeight="false" outlineLevel="0" collapsed="false">
      <c r="A56" s="5" t="n">
        <v>41426</v>
      </c>
      <c r="B56" s="1" t="n">
        <v>95.408488914</v>
      </c>
      <c r="C56" s="1" t="n">
        <v>232.220254146</v>
      </c>
      <c r="D56" s="17" t="n">
        <f aca="false">SUM(Data!C165:C167)</f>
        <v>698.98</v>
      </c>
      <c r="E56" s="17" t="n">
        <f aca="false">SUM(Data!D165:D167)</f>
        <v>10313.705</v>
      </c>
      <c r="F56" s="17" t="n">
        <f aca="false">SUM(Data!E165:E167)</f>
        <v>10296.155</v>
      </c>
      <c r="G56" s="17" t="n">
        <f aca="false">E56/F56</f>
        <v>1.00170451979404</v>
      </c>
      <c r="H56" s="17" t="n">
        <f aca="false">E56/O56</f>
        <v>0.4513789399574</v>
      </c>
      <c r="I56" s="1" t="n">
        <v>9430.617762739</v>
      </c>
      <c r="J56" s="1" t="n">
        <v>-950.901529384</v>
      </c>
      <c r="K56" s="1" t="n">
        <v>5815.369123731</v>
      </c>
      <c r="L56" s="1" t="n">
        <v>6655.965118311</v>
      </c>
      <c r="M56" s="1" t="n">
        <v>-784.162918679</v>
      </c>
      <c r="N56" s="1" t="n">
        <v>92.7462753786667</v>
      </c>
      <c r="O56" s="1" t="n">
        <v>22849.327</v>
      </c>
      <c r="P56" s="1" t="n">
        <v>82.75364954</v>
      </c>
      <c r="Q56" s="3" t="n">
        <f aca="false">AVERAGE(Data!L165:L167)</f>
        <v>60.1988380191106</v>
      </c>
      <c r="R56" s="3" t="n">
        <f aca="false">AVERAGE(Data!M165:M167)</f>
        <v>106.302763190512</v>
      </c>
      <c r="S56" s="3" t="n">
        <f aca="false">Q56/R56</f>
        <v>0.566296079352372</v>
      </c>
      <c r="T56" s="3" t="n">
        <v>23313979.7440989</v>
      </c>
      <c r="U56" s="3" t="n">
        <f aca="false">AB56+AE56+AG56</f>
        <v>7309.2819366562</v>
      </c>
      <c r="V56" s="3" t="n">
        <f aca="false">AC56+AF56+AH56</f>
        <v>7995.12040601183</v>
      </c>
      <c r="W56" s="3" t="n">
        <f aca="false">U56/V56</f>
        <v>0.914217868583953</v>
      </c>
      <c r="X56" s="1" t="n">
        <v>6112.29534558358</v>
      </c>
      <c r="Y56" s="1" t="n">
        <v>6681.72319794552</v>
      </c>
      <c r="Z56" s="1" t="n">
        <v>481.932202668911</v>
      </c>
      <c r="AA56" s="1" t="n">
        <v>850.887514118578</v>
      </c>
      <c r="AB56" s="3" t="n">
        <f aca="false">X56+Z56</f>
        <v>6594.22754825249</v>
      </c>
      <c r="AC56" s="3" t="n">
        <f aca="false">Y56+AA56</f>
        <v>7532.6107120641</v>
      </c>
      <c r="AD56" s="3" t="n">
        <f aca="false">AB56/AC56</f>
        <v>0.87542391347681</v>
      </c>
      <c r="AE56" s="1" t="n">
        <v>28.0549864937099</v>
      </c>
      <c r="AF56" s="1" t="n">
        <v>383.270321137732</v>
      </c>
      <c r="AG56" s="1" t="n">
        <v>686.99940191</v>
      </c>
      <c r="AH56" s="1" t="n">
        <v>79.23937281</v>
      </c>
      <c r="AI56" s="1" t="n">
        <v>27.863</v>
      </c>
      <c r="AJ56" s="1" t="n">
        <v>2.7</v>
      </c>
      <c r="AK56" s="1" t="n">
        <v>9654.86023075174</v>
      </c>
      <c r="AL56" s="1" t="n">
        <v>3357.01748410546</v>
      </c>
      <c r="AM56" s="1" t="n">
        <v>6297.84274664628</v>
      </c>
      <c r="AN56" s="1" t="n">
        <v>3788.4424258213</v>
      </c>
      <c r="AQ56" s="3" t="n">
        <f aca="false">AG56-AH56</f>
        <v>607.7600291</v>
      </c>
    </row>
    <row r="57" customFormat="false" ht="15" hidden="false" customHeight="false" outlineLevel="0" collapsed="false">
      <c r="A57" s="5" t="n">
        <v>41518</v>
      </c>
      <c r="B57" s="1" t="n">
        <v>95.8530231496667</v>
      </c>
      <c r="C57" s="1" t="n">
        <v>233.250682040333</v>
      </c>
      <c r="D57" s="17" t="n">
        <f aca="false">SUM(Data!C168:C170)</f>
        <v>701.622</v>
      </c>
      <c r="E57" s="17" t="n">
        <f aca="false">SUM(Data!D168:D170)</f>
        <v>10971.614</v>
      </c>
      <c r="F57" s="17" t="n">
        <f aca="false">SUM(Data!E168:E170)</f>
        <v>10540.644</v>
      </c>
      <c r="G57" s="17" t="n">
        <f aca="false">E57/F57</f>
        <v>1.04088649611921</v>
      </c>
      <c r="H57" s="17" t="n">
        <f aca="false">E57/O57</f>
        <v>0.447579012896905</v>
      </c>
      <c r="I57" s="1" t="n">
        <v>10403.117659056</v>
      </c>
      <c r="J57" s="1" t="n">
        <v>-733.105531097</v>
      </c>
      <c r="K57" s="1" t="n">
        <v>6358.494109648</v>
      </c>
      <c r="L57" s="1" t="n">
        <v>6498.212199022</v>
      </c>
      <c r="M57" s="1" t="n">
        <v>-108.769039406</v>
      </c>
      <c r="N57" s="1" t="n">
        <v>103.507447527333</v>
      </c>
      <c r="O57" s="1" t="n">
        <v>24513.245</v>
      </c>
      <c r="P57" s="1" t="n">
        <v>83.1392214186667</v>
      </c>
      <c r="Q57" s="3" t="n">
        <f aca="false">AVERAGE(Data!L168:L170)</f>
        <v>60.2691927071802</v>
      </c>
      <c r="R57" s="3" t="n">
        <f aca="false">AVERAGE(Data!M168:M170)</f>
        <v>106.704565674631</v>
      </c>
      <c r="S57" s="3" t="n">
        <f aca="false">Q57/R57</f>
        <v>0.564822998211305</v>
      </c>
      <c r="T57" s="3" t="n">
        <v>24369093.3461301</v>
      </c>
      <c r="U57" s="3" t="n">
        <f aca="false">AB57+AE57+AG57</f>
        <v>7842.45609779565</v>
      </c>
      <c r="V57" s="3" t="n">
        <f aca="false">AC57+AF57+AH57</f>
        <v>7899.54860466578</v>
      </c>
      <c r="W57" s="3" t="n">
        <f aca="false">U57/V57</f>
        <v>0.992772687437305</v>
      </c>
      <c r="X57" s="1" t="n">
        <v>6605.25765723717</v>
      </c>
      <c r="Y57" s="1" t="n">
        <v>6640.85746547413</v>
      </c>
      <c r="Z57" s="1" t="n">
        <v>521.961807580321</v>
      </c>
      <c r="AA57" s="1" t="n">
        <v>850.814465503495</v>
      </c>
      <c r="AB57" s="3" t="n">
        <f aca="false">X57+Z57</f>
        <v>7127.21946481749</v>
      </c>
      <c r="AC57" s="3" t="n">
        <f aca="false">Y57+AA57</f>
        <v>7491.67193097762</v>
      </c>
      <c r="AD57" s="3" t="n">
        <f aca="false">AB57/AC57</f>
        <v>0.951352319012643</v>
      </c>
      <c r="AE57" s="1" t="n">
        <v>27.2055681081641</v>
      </c>
      <c r="AF57" s="1" t="n">
        <v>320.439408974151</v>
      </c>
      <c r="AG57" s="1" t="n">
        <v>688.03106487</v>
      </c>
      <c r="AH57" s="1" t="n">
        <v>87.437264714</v>
      </c>
      <c r="AI57" s="1" t="n">
        <v>18.582</v>
      </c>
      <c r="AJ57" s="1" t="n">
        <v>2.7</v>
      </c>
      <c r="AK57" s="1" t="n">
        <v>9316.02898385243</v>
      </c>
      <c r="AL57" s="1" t="n">
        <v>3695.7632841655</v>
      </c>
      <c r="AM57" s="1" t="n">
        <v>5620.26569968694</v>
      </c>
      <c r="AN57" s="1" t="n">
        <v>3420.95836201272</v>
      </c>
      <c r="AQ57" s="3" t="n">
        <f aca="false">AG57-AH57</f>
        <v>600.593800156</v>
      </c>
    </row>
    <row r="58" customFormat="false" ht="15" hidden="false" customHeight="false" outlineLevel="0" collapsed="false">
      <c r="A58" s="5" t="n">
        <v>41609</v>
      </c>
      <c r="B58" s="1" t="n">
        <v>96.97724915</v>
      </c>
      <c r="C58" s="1" t="n">
        <v>234.004829342</v>
      </c>
      <c r="D58" s="17" t="n">
        <f aca="false">SUM(Data!C171:C173)</f>
        <v>699.664</v>
      </c>
      <c r="E58" s="17" t="n">
        <f aca="false">SUM(Data!D171:D173)</f>
        <v>14592.105</v>
      </c>
      <c r="F58" s="17" t="n">
        <f aca="false">SUM(Data!E171:E173)</f>
        <v>10716.445</v>
      </c>
      <c r="G58" s="17" t="n">
        <f aca="false">E58/F58</f>
        <v>1.36165538105221</v>
      </c>
      <c r="H58" s="17" t="n">
        <f aca="false">E58/O58</f>
        <v>0.537605079447232</v>
      </c>
      <c r="I58" s="1" t="n">
        <v>11431.493604828</v>
      </c>
      <c r="J58" s="1" t="n">
        <v>-1611.328410722</v>
      </c>
      <c r="K58" s="1" t="n">
        <v>6417.654438658</v>
      </c>
      <c r="L58" s="1" t="n">
        <v>6028.121535265</v>
      </c>
      <c r="M58" s="1" t="n">
        <v>230.500549611</v>
      </c>
      <c r="N58" s="1" t="n">
        <v>99.7439493833333</v>
      </c>
      <c r="O58" s="1" t="n">
        <v>27142.796</v>
      </c>
      <c r="P58" s="1" t="n">
        <v>84.1143317626667</v>
      </c>
      <c r="Q58" s="3" t="n">
        <f aca="false">AVERAGE(Data!L171:L173)</f>
        <v>60.9800795308474</v>
      </c>
      <c r="R58" s="3" t="n">
        <f aca="false">AVERAGE(Data!M171:M173)</f>
        <v>106.40678775491</v>
      </c>
      <c r="S58" s="3" t="n">
        <f aca="false">Q58/R58</f>
        <v>0.573084488475535</v>
      </c>
      <c r="T58" s="3" t="n">
        <v>26941292.0203837</v>
      </c>
      <c r="U58" s="3" t="n">
        <f aca="false">AB58+AE58+AG58</f>
        <v>7749.48229074443</v>
      </c>
      <c r="V58" s="3" t="n">
        <f aca="false">AC58+AF58+AH58</f>
        <v>7873.01330735238</v>
      </c>
      <c r="W58" s="3" t="n">
        <f aca="false">U58/V58</f>
        <v>0.984309563341829</v>
      </c>
      <c r="X58" s="1" t="n">
        <v>6489.19485844549</v>
      </c>
      <c r="Y58" s="1" t="n">
        <v>6413.46777668967</v>
      </c>
      <c r="Z58" s="1" t="n">
        <v>551.313114267083</v>
      </c>
      <c r="AA58" s="1" t="n">
        <v>912.60011656991</v>
      </c>
      <c r="AB58" s="3" t="n">
        <f aca="false">X58+Z58</f>
        <v>7040.50797271257</v>
      </c>
      <c r="AC58" s="3" t="n">
        <f aca="false">Y58+AA58</f>
        <v>7326.06789325958</v>
      </c>
      <c r="AD58" s="3" t="n">
        <f aca="false">AB58/AC58</f>
        <v>0.961021393098235</v>
      </c>
      <c r="AE58" s="1" t="n">
        <v>28.8423290118559</v>
      </c>
      <c r="AF58" s="1" t="n">
        <v>444.5293039228</v>
      </c>
      <c r="AG58" s="1" t="n">
        <v>680.13198902</v>
      </c>
      <c r="AH58" s="1" t="n">
        <v>102.41611017</v>
      </c>
      <c r="AI58" s="1" t="n">
        <v>17.44439912</v>
      </c>
      <c r="AJ58" s="1" t="n">
        <v>2.7</v>
      </c>
      <c r="AK58" s="1" t="n">
        <v>9513.64668211573</v>
      </c>
      <c r="AL58" s="1" t="n">
        <v>3890.84463910273</v>
      </c>
      <c r="AM58" s="1" t="n">
        <v>5622.802043013</v>
      </c>
      <c r="AN58" s="1" t="n">
        <v>3220.08192445897</v>
      </c>
      <c r="AQ58" s="3" t="n">
        <f aca="false">AG58-AH58</f>
        <v>577.71587885</v>
      </c>
    </row>
    <row r="59" customFormat="false" ht="15" hidden="false" customHeight="false" outlineLevel="0" collapsed="false">
      <c r="A59" s="5" t="n">
        <v>41699</v>
      </c>
      <c r="B59" s="1" t="n">
        <v>97.9635783003333</v>
      </c>
      <c r="C59" s="1" t="n">
        <v>235.615776231667</v>
      </c>
      <c r="D59" s="17" t="n">
        <f aca="false">SUM(Data!C174:C176)</f>
        <v>704.99</v>
      </c>
      <c r="E59" s="17" t="n">
        <f aca="false">SUM(Data!D174:D176)</f>
        <v>9920.952</v>
      </c>
      <c r="F59" s="17" t="n">
        <f aca="false">SUM(Data!E174:E176)</f>
        <v>9909.342</v>
      </c>
      <c r="G59" s="17" t="n">
        <f aca="false">E59/F59</f>
        <v>1.0011716216879</v>
      </c>
      <c r="H59" s="17" t="n">
        <f aca="false">E59/O59</f>
        <v>0.414775841023649</v>
      </c>
      <c r="I59" s="1" t="n">
        <v>10023.631956195</v>
      </c>
      <c r="J59" s="1" t="n">
        <v>-965.566634447</v>
      </c>
      <c r="K59" s="1" t="n">
        <v>6745.826270442</v>
      </c>
      <c r="L59" s="1" t="n">
        <v>6535.506453063</v>
      </c>
      <c r="M59" s="1" t="n">
        <v>286.663480509</v>
      </c>
      <c r="N59" s="1" t="n">
        <v>100.529941477</v>
      </c>
      <c r="O59" s="1" t="n">
        <v>23918.828</v>
      </c>
      <c r="P59" s="1" t="n">
        <v>84.9698356893333</v>
      </c>
      <c r="Q59" s="3" t="n">
        <f aca="false">AVERAGE(Data!L174:L176)</f>
        <v>61.7722060317299</v>
      </c>
      <c r="R59" s="3" t="n">
        <f aca="false">AVERAGE(Data!M174:M176)</f>
        <v>107.2167801964</v>
      </c>
      <c r="S59" s="3" t="n">
        <f aca="false">Q59/R59</f>
        <v>0.576143080575404</v>
      </c>
      <c r="T59" s="3" t="n">
        <v>23411662.7368034</v>
      </c>
      <c r="U59" s="3" t="n">
        <f aca="false">AB59+AE59+AG59</f>
        <v>8170.69774462764</v>
      </c>
      <c r="V59" s="3" t="n">
        <f aca="false">AC59+AF59+AH59</f>
        <v>7660.0348124307</v>
      </c>
      <c r="W59" s="3" t="n">
        <f aca="false">U59/V59</f>
        <v>1.06666587616133</v>
      </c>
      <c r="X59" s="1" t="n">
        <v>6880.07071163895</v>
      </c>
      <c r="Y59" s="1" t="n">
        <v>6221.63775669</v>
      </c>
      <c r="Z59" s="1" t="n">
        <v>558.46201587236</v>
      </c>
      <c r="AA59" s="1" t="n">
        <v>883.627883246428</v>
      </c>
      <c r="AB59" s="3" t="n">
        <f aca="false">X59+Z59</f>
        <v>7438.53272751131</v>
      </c>
      <c r="AC59" s="3" t="n">
        <f aca="false">Y59+AA59</f>
        <v>7105.26563993643</v>
      </c>
      <c r="AD59" s="3" t="n">
        <f aca="false">AB59/AC59</f>
        <v>1.046904240385</v>
      </c>
      <c r="AE59" s="1" t="n">
        <v>30.1036423763286</v>
      </c>
      <c r="AF59" s="1" t="n">
        <v>410.032704074267</v>
      </c>
      <c r="AG59" s="1" t="n">
        <v>702.06137474</v>
      </c>
      <c r="AH59" s="1" t="n">
        <v>144.73646842</v>
      </c>
      <c r="AI59" s="1" t="n">
        <v>35.0736</v>
      </c>
      <c r="AJ59" s="1" t="n">
        <v>2.7</v>
      </c>
      <c r="AK59" s="1" t="n">
        <v>9459.04590614512</v>
      </c>
      <c r="AL59" s="1" t="n">
        <v>3629.04475287471</v>
      </c>
      <c r="AM59" s="1" t="n">
        <v>5830.00115327042</v>
      </c>
      <c r="AN59" s="1" t="n">
        <v>3358.83525313626</v>
      </c>
      <c r="AQ59" s="3" t="n">
        <f aca="false">AG59-AH59</f>
        <v>557.32490632</v>
      </c>
    </row>
    <row r="60" customFormat="false" ht="15" hidden="false" customHeight="false" outlineLevel="0" collapsed="false">
      <c r="A60" s="5" t="n">
        <v>41791</v>
      </c>
      <c r="B60" s="1" t="n">
        <v>98.7034152723333</v>
      </c>
      <c r="C60" s="1" t="n">
        <v>236.989451501667</v>
      </c>
      <c r="D60" s="17" t="n">
        <f aca="false">SUM(Data!C177:C179)</f>
        <v>713.315</v>
      </c>
      <c r="E60" s="17" t="n">
        <f aca="false">SUM(Data!D177:D179)</f>
        <v>11117.589</v>
      </c>
      <c r="F60" s="17" t="n">
        <f aca="false">SUM(Data!E177:E179)</f>
        <v>11920.849</v>
      </c>
      <c r="G60" s="17" t="n">
        <f aca="false">E60/F60</f>
        <v>0.932617215434907</v>
      </c>
      <c r="H60" s="17" t="n">
        <f aca="false">E60/O60</f>
        <v>0.444194992269451</v>
      </c>
      <c r="I60" s="1" t="n">
        <v>11006.365332542</v>
      </c>
      <c r="J60" s="1" t="n">
        <v>-187.280184959</v>
      </c>
      <c r="K60" s="1" t="n">
        <v>6590.91945368</v>
      </c>
      <c r="L60" s="1" t="n">
        <v>6635.549708888</v>
      </c>
      <c r="M60" s="1" t="n">
        <v>70.975110647</v>
      </c>
      <c r="N60" s="1" t="n">
        <v>101.438384181</v>
      </c>
      <c r="O60" s="1" t="n">
        <v>25028.623</v>
      </c>
      <c r="P60" s="1" t="n">
        <v>85.6115417903333</v>
      </c>
      <c r="Q60" s="3" t="n">
        <f aca="false">AVERAGE(Data!L177:L179)</f>
        <v>62.2688993944633</v>
      </c>
      <c r="R60" s="3" t="n">
        <f aca="false">AVERAGE(Data!M177:M179)</f>
        <v>108.482868644654</v>
      </c>
      <c r="S60" s="3" t="n">
        <f aca="false">Q60/R60</f>
        <v>0.573997536868526</v>
      </c>
      <c r="T60" s="3" t="n">
        <v>24463511.7957547</v>
      </c>
      <c r="U60" s="3" t="n">
        <f aca="false">AB60+AE60+AG60</f>
        <v>8299.17304427901</v>
      </c>
      <c r="V60" s="3" t="n">
        <f aca="false">AC60+AF60+AH60</f>
        <v>7999.61620869996</v>
      </c>
      <c r="W60" s="3" t="n">
        <f aca="false">U60/V60</f>
        <v>1.03744640089774</v>
      </c>
      <c r="X60" s="1" t="n">
        <v>7002.09051547762</v>
      </c>
      <c r="Y60" s="1" t="n">
        <v>6627.47947677308</v>
      </c>
      <c r="Z60" s="1" t="n">
        <v>564.561017728832</v>
      </c>
      <c r="AA60" s="1" t="n">
        <v>845.184481283399</v>
      </c>
      <c r="AB60" s="3" t="n">
        <f aca="false">X60+Z60</f>
        <v>7566.65153320645</v>
      </c>
      <c r="AC60" s="3" t="n">
        <f aca="false">Y60+AA60</f>
        <v>7472.66395805648</v>
      </c>
      <c r="AD60" s="3" t="n">
        <f aca="false">AB60/AC60</f>
        <v>1.01257751929934</v>
      </c>
      <c r="AE60" s="1" t="n">
        <v>31.0209623025579</v>
      </c>
      <c r="AF60" s="1" t="n">
        <v>401.795078853476</v>
      </c>
      <c r="AG60" s="1" t="n">
        <v>701.50054877</v>
      </c>
      <c r="AH60" s="1" t="n">
        <v>125.15717179</v>
      </c>
      <c r="AI60" s="1" t="n">
        <v>26.436</v>
      </c>
      <c r="AJ60" s="1" t="n">
        <v>2.7</v>
      </c>
      <c r="AK60" s="1" t="n">
        <v>10484.1485333677</v>
      </c>
      <c r="AL60" s="1" t="n">
        <v>3816.0941010408</v>
      </c>
      <c r="AM60" s="1" t="n">
        <v>6668.05443232685</v>
      </c>
      <c r="AN60" s="1" t="n">
        <v>3941.18377961198</v>
      </c>
      <c r="AQ60" s="3" t="n">
        <f aca="false">AG60-AH60</f>
        <v>576.34337698</v>
      </c>
    </row>
    <row r="61" customFormat="false" ht="15" hidden="false" customHeight="false" outlineLevel="0" collapsed="false">
      <c r="A61" s="5" t="n">
        <v>41883</v>
      </c>
      <c r="B61" s="1" t="n">
        <v>99.7826481426667</v>
      </c>
      <c r="C61" s="1" t="n">
        <v>237.444704117</v>
      </c>
      <c r="D61" s="17" t="n">
        <f aca="false">SUM(Data!C180:C182)</f>
        <v>714.133</v>
      </c>
      <c r="E61" s="17" t="n">
        <f aca="false">SUM(Data!D180:D182)</f>
        <v>11465.028</v>
      </c>
      <c r="F61" s="17" t="n">
        <f aca="false">SUM(Data!E180:E182)</f>
        <v>10107.948</v>
      </c>
      <c r="G61" s="17" t="n">
        <f aca="false">E61/F61</f>
        <v>1.13425870414054</v>
      </c>
      <c r="H61" s="17" t="n">
        <f aca="false">E61/O61</f>
        <v>0.441226299009</v>
      </c>
      <c r="I61" s="1" t="n">
        <v>10352.404054128</v>
      </c>
      <c r="J61" s="1" t="n">
        <v>-1680.362667861</v>
      </c>
      <c r="K61" s="1" t="n">
        <v>6489.104010841</v>
      </c>
      <c r="L61" s="1" t="n">
        <v>6533.002330096</v>
      </c>
      <c r="M61" s="1" t="n">
        <v>-36.93071489</v>
      </c>
      <c r="N61" s="1" t="n">
        <v>95.0797069796667</v>
      </c>
      <c r="O61" s="1" t="n">
        <v>25984.462</v>
      </c>
      <c r="P61" s="1" t="n">
        <v>86.547626826</v>
      </c>
      <c r="Q61" s="3" t="n">
        <f aca="false">AVERAGE(Data!L180:L182)</f>
        <v>62.7702218299363</v>
      </c>
      <c r="R61" s="3" t="n">
        <f aca="false">AVERAGE(Data!M180:M182)</f>
        <v>108.607272290381</v>
      </c>
      <c r="S61" s="3" t="n">
        <f aca="false">Q61/R61</f>
        <v>0.577955973906691</v>
      </c>
      <c r="T61" s="3" t="n">
        <v>25293839.9637859</v>
      </c>
      <c r="U61" s="3" t="n">
        <f aca="false">AB61+AE61+AG61</f>
        <v>8057.08372378594</v>
      </c>
      <c r="V61" s="3" t="n">
        <f aca="false">AC61+AF61+AH61</f>
        <v>8137.18323417827</v>
      </c>
      <c r="W61" s="3" t="n">
        <f aca="false">U61/V61</f>
        <v>0.990156359014272</v>
      </c>
      <c r="X61" s="1" t="n">
        <v>6748.56135445245</v>
      </c>
      <c r="Y61" s="1" t="n">
        <v>6724.07040891025</v>
      </c>
      <c r="Z61" s="1" t="n">
        <v>597.424685842685</v>
      </c>
      <c r="AA61" s="1" t="n">
        <v>883.452969931037</v>
      </c>
      <c r="AB61" s="3" t="n">
        <f aca="false">X61+Z61</f>
        <v>7345.98604029514</v>
      </c>
      <c r="AC61" s="3" t="n">
        <f aca="false">Y61+AA61</f>
        <v>7607.52337884129</v>
      </c>
      <c r="AD61" s="3" t="n">
        <f aca="false">AB61/AC61</f>
        <v>0.965621224474504</v>
      </c>
      <c r="AE61" s="1" t="n">
        <v>34.4153876708028</v>
      </c>
      <c r="AF61" s="1" t="n">
        <v>331.509728326985</v>
      </c>
      <c r="AG61" s="1" t="n">
        <v>676.68229582</v>
      </c>
      <c r="AH61" s="1" t="n">
        <v>198.15012701</v>
      </c>
      <c r="AI61" s="1" t="n">
        <v>18.7252</v>
      </c>
      <c r="AJ61" s="1" t="n">
        <v>2.7</v>
      </c>
      <c r="AK61" s="1" t="n">
        <v>9263.85027449524</v>
      </c>
      <c r="AL61" s="1" t="n">
        <v>3205.33955338418</v>
      </c>
      <c r="AM61" s="1" t="n">
        <v>6058.51072111106</v>
      </c>
      <c r="AN61" s="1" t="n">
        <v>3625.21705971672</v>
      </c>
      <c r="AQ61" s="3" t="n">
        <f aca="false">AG61-AH61</f>
        <v>478.53216881</v>
      </c>
    </row>
    <row r="62" customFormat="false" ht="15" hidden="false" customHeight="false" outlineLevel="0" collapsed="false">
      <c r="A62" s="5" t="n">
        <v>41974</v>
      </c>
      <c r="B62" s="1" t="n">
        <v>100.666831785667</v>
      </c>
      <c r="C62" s="1" t="n">
        <v>236.883910947667</v>
      </c>
      <c r="D62" s="17" t="n">
        <f aca="false">SUM(Data!C183:C185)</f>
        <v>708.396</v>
      </c>
      <c r="E62" s="17" t="n">
        <f aca="false">SUM(Data!D183:D185)</f>
        <v>14778.703</v>
      </c>
      <c r="F62" s="17" t="n">
        <f aca="false">SUM(Data!E183:E185)</f>
        <v>10029.943</v>
      </c>
      <c r="G62" s="17" t="n">
        <f aca="false">E62/F62</f>
        <v>1.47345832374122</v>
      </c>
      <c r="H62" s="17" t="n">
        <f aca="false">E62/O62</f>
        <v>0.53187816977544</v>
      </c>
      <c r="I62" s="1" t="n">
        <v>10330.109720553</v>
      </c>
      <c r="J62" s="1" t="n">
        <v>-2452.204277835</v>
      </c>
      <c r="K62" s="1" t="n">
        <v>5844.251498225</v>
      </c>
      <c r="L62" s="1" t="n">
        <v>6735.892366059</v>
      </c>
      <c r="M62" s="1" t="n">
        <v>-1024.09110648</v>
      </c>
      <c r="N62" s="1" t="n">
        <v>75.027240676</v>
      </c>
      <c r="O62" s="1" t="n">
        <v>27785.88</v>
      </c>
      <c r="P62" s="1" t="n">
        <v>87.314533672</v>
      </c>
      <c r="Q62" s="3" t="n">
        <f aca="false">AVERAGE(Data!L183:L185)</f>
        <v>63.2984298084177</v>
      </c>
      <c r="R62" s="3" t="n">
        <f aca="false">AVERAGE(Data!M183:M185)</f>
        <v>107.734773860634</v>
      </c>
      <c r="S62" s="3" t="n">
        <f aca="false">Q62/R62</f>
        <v>0.587539450264227</v>
      </c>
      <c r="T62" s="3" t="n">
        <v>27780831.6154569</v>
      </c>
      <c r="U62" s="3" t="n">
        <f aca="false">AB62+AE62+AG62</f>
        <v>7263.50813613492</v>
      </c>
      <c r="V62" s="3" t="n">
        <f aca="false">AC62+AF62+AH62</f>
        <v>8662.37050712289</v>
      </c>
      <c r="W62" s="3" t="n">
        <f aca="false">U62/V62</f>
        <v>0.838512752388308</v>
      </c>
      <c r="X62" s="1" t="n">
        <v>5965.75875137467</v>
      </c>
      <c r="Y62" s="1" t="n">
        <v>7086.7866833771</v>
      </c>
      <c r="Z62" s="1" t="n">
        <v>625.840287350422</v>
      </c>
      <c r="AA62" s="1" t="n">
        <v>904.699786657488</v>
      </c>
      <c r="AB62" s="3" t="n">
        <f aca="false">X62+Z62</f>
        <v>6591.59903872509</v>
      </c>
      <c r="AC62" s="3" t="n">
        <f aca="false">Y62+AA62</f>
        <v>7991.48647003459</v>
      </c>
      <c r="AD62" s="3" t="n">
        <f aca="false">AB62/AC62</f>
        <v>0.824827654209438</v>
      </c>
      <c r="AE62" s="1" t="n">
        <v>25.1725705147963</v>
      </c>
      <c r="AF62" s="1" t="n">
        <v>520.419205008303</v>
      </c>
      <c r="AG62" s="1" t="n">
        <v>646.736526895029</v>
      </c>
      <c r="AH62" s="1" t="n">
        <v>150.46483208</v>
      </c>
      <c r="AI62" s="1" t="n">
        <v>17.3518492521143</v>
      </c>
      <c r="AJ62" s="1" t="n">
        <v>2.7</v>
      </c>
      <c r="AK62" s="1" t="n">
        <v>9692.99859094132</v>
      </c>
      <c r="AL62" s="1" t="n">
        <v>3326.02339365647</v>
      </c>
      <c r="AM62" s="1" t="n">
        <v>6366.97519728485</v>
      </c>
      <c r="AN62" s="1" t="n">
        <v>3534.74462375167</v>
      </c>
      <c r="AQ62" s="3" t="n">
        <f aca="false">AG62-AH62</f>
        <v>496.271694815029</v>
      </c>
    </row>
    <row r="63" customFormat="false" ht="15" hidden="false" customHeight="false" outlineLevel="0" collapsed="false">
      <c r="A63" s="5" t="n">
        <v>42064</v>
      </c>
      <c r="B63" s="1" t="n">
        <v>101.701848293</v>
      </c>
      <c r="C63" s="1" t="n">
        <v>235.471834232333</v>
      </c>
      <c r="D63" s="17" t="n">
        <f aca="false">SUM(Data!C186:C188)</f>
        <v>704.548</v>
      </c>
      <c r="E63" s="17" t="n">
        <f aca="false">SUM(Data!D186:D188)</f>
        <v>9291.276</v>
      </c>
      <c r="F63" s="17" t="n">
        <f aca="false">SUM(Data!E186:E188)</f>
        <v>8756.516</v>
      </c>
      <c r="G63" s="17" t="n">
        <f aca="false">E63/F63</f>
        <v>1.06106995065161</v>
      </c>
      <c r="H63" s="17" t="n">
        <f aca="false">E63/O63</f>
        <v>0.401664174370765</v>
      </c>
      <c r="I63" s="1" t="n">
        <v>9223.795249931</v>
      </c>
      <c r="J63" s="1" t="n">
        <v>-1487.856963291</v>
      </c>
      <c r="K63" s="1" t="n">
        <v>4986.808268383</v>
      </c>
      <c r="L63" s="1" t="n">
        <v>6073.130137359</v>
      </c>
      <c r="M63" s="1" t="n">
        <v>-1063.72652329</v>
      </c>
      <c r="N63" s="1" t="n">
        <v>50.9822951033333</v>
      </c>
      <c r="O63" s="1" t="n">
        <v>23131.951</v>
      </c>
      <c r="P63" s="1" t="n">
        <v>88.212267137</v>
      </c>
      <c r="Q63" s="3" t="n">
        <f aca="false">AVERAGE(Data!L186:L188)</f>
        <v>64.1081167744652</v>
      </c>
      <c r="R63" s="3" t="n">
        <f aca="false">AVERAGE(Data!M186:M188)</f>
        <v>107.149559644552</v>
      </c>
      <c r="S63" s="3" t="n">
        <f aca="false">Q63/R63</f>
        <v>0.598304995252725</v>
      </c>
      <c r="T63" s="3" t="n">
        <v>24251724.7827684</v>
      </c>
      <c r="U63" s="3" t="n">
        <f aca="false">AB63+AE63+AG63</f>
        <v>6322.97273964119</v>
      </c>
      <c r="V63" s="3" t="n">
        <f aca="false">AC63+AF63+AH63</f>
        <v>7251.39811512154</v>
      </c>
      <c r="W63" s="3" t="n">
        <f aca="false">U63/V63</f>
        <v>0.871966018036677</v>
      </c>
      <c r="X63" s="1" t="n">
        <v>5063.53592058073</v>
      </c>
      <c r="Y63" s="1" t="n">
        <v>5838.94173157535</v>
      </c>
      <c r="Z63" s="1" t="n">
        <v>625.409019498206</v>
      </c>
      <c r="AA63" s="1" t="n">
        <v>871.755606632387</v>
      </c>
      <c r="AB63" s="3" t="n">
        <f aca="false">X63+Z63</f>
        <v>5688.94494007894</v>
      </c>
      <c r="AC63" s="3" t="n">
        <f aca="false">Y63+AA63</f>
        <v>6710.69733820774</v>
      </c>
      <c r="AD63" s="3" t="n">
        <f aca="false">AB63/AC63</f>
        <v>0.847742738699987</v>
      </c>
      <c r="AE63" s="1" t="n">
        <v>32.4061636522545</v>
      </c>
      <c r="AF63" s="1" t="n">
        <v>411.553067832803</v>
      </c>
      <c r="AG63" s="1" t="n">
        <v>601.62163591</v>
      </c>
      <c r="AH63" s="1" t="n">
        <v>129.147709081</v>
      </c>
      <c r="AI63" s="1" t="n">
        <v>24.749</v>
      </c>
      <c r="AJ63" s="1" t="n">
        <v>2.8</v>
      </c>
      <c r="AK63" s="1" t="n">
        <v>8983.39690967936</v>
      </c>
      <c r="AL63" s="1" t="n">
        <v>2114.00277339142</v>
      </c>
      <c r="AM63" s="1" t="n">
        <v>6869.39413628794</v>
      </c>
      <c r="AN63" s="1" t="n">
        <v>3872.6729218368</v>
      </c>
      <c r="AQ63" s="3" t="n">
        <f aca="false">AG63-AH63</f>
        <v>472.473926829</v>
      </c>
    </row>
    <row r="64" customFormat="false" ht="15" hidden="false" customHeight="false" outlineLevel="0" collapsed="false">
      <c r="A64" s="5" t="n">
        <v>42156</v>
      </c>
      <c r="B64" s="1" t="n">
        <v>103.231203804333</v>
      </c>
      <c r="C64" s="1" t="n">
        <v>236.901694659333</v>
      </c>
      <c r="D64" s="17" t="n">
        <f aca="false">SUM(Data!C189:C191)</f>
        <v>713.042</v>
      </c>
      <c r="E64" s="17" t="n">
        <f aca="false">SUM(Data!D189:D191)</f>
        <v>10648.087</v>
      </c>
      <c r="F64" s="17" t="n">
        <f aca="false">SUM(Data!E189:E191)</f>
        <v>10226.527</v>
      </c>
      <c r="G64" s="17" t="n">
        <f aca="false">E64/F64</f>
        <v>1.04122220574003</v>
      </c>
      <c r="H64" s="17" t="n">
        <f aca="false">E64/O64</f>
        <v>0.445343074478253</v>
      </c>
      <c r="I64" s="1" t="n">
        <v>9529.526660263</v>
      </c>
      <c r="J64" s="1" t="n">
        <v>-1441.327989168</v>
      </c>
      <c r="K64" s="1" t="n">
        <v>4791.881896722</v>
      </c>
      <c r="L64" s="1" t="n">
        <v>5327.755501462</v>
      </c>
      <c r="M64" s="1" t="n">
        <v>-490.129890972</v>
      </c>
      <c r="N64" s="1" t="n">
        <v>55.9722648256667</v>
      </c>
      <c r="O64" s="1" t="n">
        <v>23909.852</v>
      </c>
      <c r="P64" s="1" t="n">
        <v>89.538771219</v>
      </c>
      <c r="Q64" s="3" t="n">
        <f aca="false">AVERAGE(Data!L189:L191)</f>
        <v>65.1197680027382</v>
      </c>
      <c r="R64" s="3" t="n">
        <f aca="false">AVERAGE(Data!M189:M191)</f>
        <v>108.441350068513</v>
      </c>
      <c r="S64" s="3" t="n">
        <f aca="false">Q64/R64</f>
        <v>0.600506798943352</v>
      </c>
      <c r="T64" s="3" t="n">
        <v>24364087.6855569</v>
      </c>
      <c r="U64" s="3" t="n">
        <f aca="false">AB64+AE64+AG64</f>
        <v>6372.35102145338</v>
      </c>
      <c r="V64" s="3" t="n">
        <f aca="false">AC64+AF64+AH64</f>
        <v>6656.87838682609</v>
      </c>
      <c r="W64" s="3" t="n">
        <f aca="false">U64/V64</f>
        <v>0.957258139800813</v>
      </c>
      <c r="X64" s="1" t="n">
        <v>5116.60581494885</v>
      </c>
      <c r="Y64" s="1" t="n">
        <v>5309.15283995542</v>
      </c>
      <c r="Z64" s="1" t="n">
        <v>561.285917171756</v>
      </c>
      <c r="AA64" s="1" t="n">
        <v>772.854352699597</v>
      </c>
      <c r="AB64" s="3" t="n">
        <f aca="false">X64+Z64</f>
        <v>5677.89173212061</v>
      </c>
      <c r="AC64" s="3" t="n">
        <f aca="false">Y64+AA64</f>
        <v>6082.00719265502</v>
      </c>
      <c r="AD64" s="3" t="n">
        <f aca="false">AB64/AC64</f>
        <v>0.933555576681586</v>
      </c>
      <c r="AE64" s="1" t="n">
        <v>35.3625880627761</v>
      </c>
      <c r="AF64" s="1" t="n">
        <v>446.008942601075</v>
      </c>
      <c r="AG64" s="1" t="n">
        <v>659.09670127</v>
      </c>
      <c r="AH64" s="1" t="n">
        <v>128.86225157</v>
      </c>
      <c r="AI64" s="1" t="n">
        <v>25.313</v>
      </c>
      <c r="AJ64" s="1" t="n">
        <v>2.8</v>
      </c>
      <c r="AK64" s="1" t="n">
        <v>10026.3741576519</v>
      </c>
      <c r="AL64" s="1" t="n">
        <v>2491.30651021203</v>
      </c>
      <c r="AM64" s="1" t="n">
        <v>7535.06764743988</v>
      </c>
      <c r="AN64" s="1" t="n">
        <v>4386.73593003855</v>
      </c>
      <c r="AQ64" s="3" t="n">
        <f aca="false">AG64-AH64</f>
        <v>530.2344497</v>
      </c>
    </row>
    <row r="65" customFormat="false" ht="15" hidden="false" customHeight="false" outlineLevel="0" collapsed="false">
      <c r="A65" s="5" t="n">
        <v>42248</v>
      </c>
      <c r="B65" s="1" t="n">
        <v>103.820773147</v>
      </c>
      <c r="C65" s="1" t="n">
        <v>237.758061252</v>
      </c>
      <c r="D65" s="17" t="n">
        <f aca="false">SUM(Data!C192:C194)</f>
        <v>714.915</v>
      </c>
      <c r="E65" s="17" t="n">
        <f aca="false">SUM(Data!D192:D194)</f>
        <v>10220.551</v>
      </c>
      <c r="F65" s="17" t="n">
        <f aca="false">SUM(Data!E192:E194)</f>
        <v>9657.961</v>
      </c>
      <c r="G65" s="17" t="n">
        <f aca="false">E65/F65</f>
        <v>1.05825142594798</v>
      </c>
      <c r="H65" s="17" t="n">
        <f aca="false">E65/O65</f>
        <v>0.426809873843557</v>
      </c>
      <c r="I65" s="1" t="n">
        <v>9489.179359739</v>
      </c>
      <c r="J65" s="1" t="n">
        <v>-825.123650679</v>
      </c>
      <c r="K65" s="1" t="n">
        <v>4431.690677722</v>
      </c>
      <c r="L65" s="1" t="n">
        <v>4831.722653428</v>
      </c>
      <c r="M65" s="1" t="n">
        <v>-352.532353747</v>
      </c>
      <c r="N65" s="1" t="n">
        <v>44.2137803553333</v>
      </c>
      <c r="O65" s="1" t="n">
        <v>23946.379</v>
      </c>
      <c r="P65" s="1" t="n">
        <v>90.0501409653333</v>
      </c>
      <c r="Q65" s="3" t="n">
        <f aca="false">AVERAGE(Data!L192:L194)</f>
        <v>65.3399201847474</v>
      </c>
      <c r="R65" s="3" t="n">
        <f aca="false">AVERAGE(Data!M192:M194)</f>
        <v>108.726200959033</v>
      </c>
      <c r="S65" s="3" t="n">
        <f aca="false">Q65/R65</f>
        <v>0.60095836705788</v>
      </c>
      <c r="T65" s="3" t="n">
        <v>25156152.1619144</v>
      </c>
      <c r="U65" s="3" t="n">
        <f aca="false">AB65+AE65+AG65</f>
        <v>5943.38132846932</v>
      </c>
      <c r="V65" s="3" t="n">
        <f aca="false">AC65+AF65+AH65</f>
        <v>6456.9444883529</v>
      </c>
      <c r="W65" s="3" t="n">
        <f aca="false">U65/V65</f>
        <v>0.920463438889719</v>
      </c>
      <c r="X65" s="1" t="n">
        <v>4614.15494678461</v>
      </c>
      <c r="Y65" s="1" t="n">
        <v>4977.28624942892</v>
      </c>
      <c r="Z65" s="1" t="n">
        <v>617.475225180729</v>
      </c>
      <c r="AA65" s="1" t="n">
        <v>760.830054567804</v>
      </c>
      <c r="AB65" s="3" t="n">
        <f aca="false">X65+Z65</f>
        <v>5231.63017196534</v>
      </c>
      <c r="AC65" s="3" t="n">
        <f aca="false">Y65+AA65</f>
        <v>5738.11630399672</v>
      </c>
      <c r="AD65" s="3" t="n">
        <f aca="false">AB65/AC65</f>
        <v>0.911733031329705</v>
      </c>
      <c r="AE65" s="1" t="n">
        <v>32.6488286164843</v>
      </c>
      <c r="AF65" s="1" t="n">
        <v>482.903634866171</v>
      </c>
      <c r="AG65" s="1" t="n">
        <v>679.1023278875</v>
      </c>
      <c r="AH65" s="1" t="n">
        <v>235.92454949</v>
      </c>
      <c r="AI65" s="1" t="n">
        <v>21.7222</v>
      </c>
      <c r="AJ65" s="1" t="n">
        <v>2.8</v>
      </c>
      <c r="AK65" s="1" t="n">
        <v>9283.42678445543</v>
      </c>
      <c r="AL65" s="1" t="n">
        <v>2198.54977554451</v>
      </c>
      <c r="AM65" s="1" t="n">
        <v>7084.87700891092</v>
      </c>
      <c r="AN65" s="1" t="n">
        <v>4431.7914215658</v>
      </c>
      <c r="AQ65" s="3" t="n">
        <f aca="false">AG65-AH65</f>
        <v>443.1777783975</v>
      </c>
    </row>
    <row r="66" customFormat="false" ht="15" hidden="false" customHeight="false" outlineLevel="0" collapsed="false">
      <c r="A66" s="5" t="n">
        <v>42339</v>
      </c>
      <c r="B66" s="1" t="n">
        <v>104.119157252333</v>
      </c>
      <c r="C66" s="1" t="n">
        <v>237.933815604</v>
      </c>
      <c r="D66" s="17" t="n">
        <f aca="false">SUM(Data!C195:C197)</f>
        <v>711.699</v>
      </c>
      <c r="E66" s="17" t="n">
        <f aca="false">SUM(Data!D195:D197)</f>
        <v>12760.991</v>
      </c>
      <c r="F66" s="17" t="n">
        <f aca="false">SUM(Data!E195:E197)</f>
        <v>8339.911</v>
      </c>
      <c r="G66" s="17" t="n">
        <f aca="false">E66/F66</f>
        <v>1.5301111726492</v>
      </c>
      <c r="H66" s="17" t="n">
        <f aca="false">E66/O66</f>
        <v>0.486663685638148</v>
      </c>
      <c r="I66" s="1" t="n">
        <v>8659.454414215</v>
      </c>
      <c r="J66" s="1" t="n">
        <v>-2229.525438319</v>
      </c>
      <c r="K66" s="1" t="n">
        <v>4110.833208754</v>
      </c>
      <c r="L66" s="1" t="n">
        <v>4271.32612552</v>
      </c>
      <c r="M66" s="1" t="n">
        <v>-174.386303721</v>
      </c>
      <c r="N66" s="1" t="n">
        <v>43.53755832</v>
      </c>
      <c r="O66" s="1" t="n">
        <v>26221.375</v>
      </c>
      <c r="P66" s="1" t="n">
        <v>90.3089478486667</v>
      </c>
      <c r="Q66" s="3" t="n">
        <f aca="false">AVERAGE(Data!L195:L197)</f>
        <v>65.4629213584459</v>
      </c>
      <c r="R66" s="3" t="n">
        <f aca="false">AVERAGE(Data!M195:M197)</f>
        <v>108.237103007131</v>
      </c>
      <c r="S66" s="3" t="n">
        <f aca="false">Q66/R66</f>
        <v>0.60481036113959</v>
      </c>
      <c r="T66" s="3" t="n">
        <v>27298710.0363892</v>
      </c>
      <c r="U66" s="3" t="n">
        <f aca="false">AB66+AE66+AG66</f>
        <v>5585.33627071143</v>
      </c>
      <c r="V66" s="3" t="n">
        <f aca="false">AC66+AF66+AH66</f>
        <v>6079.90720687892</v>
      </c>
      <c r="W66" s="3" t="n">
        <f aca="false">U66/V66</f>
        <v>0.918654854533319</v>
      </c>
      <c r="X66" s="1" t="n">
        <v>4254.45112531525</v>
      </c>
      <c r="Y66" s="1" t="n">
        <v>4573.16097759721</v>
      </c>
      <c r="Z66" s="1" t="n">
        <v>587.142575526165</v>
      </c>
      <c r="AA66" s="1" t="n">
        <v>791.118969061463</v>
      </c>
      <c r="AB66" s="3" t="n">
        <f aca="false">X66+Z66</f>
        <v>4841.59370084142</v>
      </c>
      <c r="AC66" s="3" t="n">
        <f aca="false">Y66+AA66</f>
        <v>5364.27994665867</v>
      </c>
      <c r="AD66" s="3" t="n">
        <f aca="false">AB66/AC66</f>
        <v>0.90256171359162</v>
      </c>
      <c r="AE66" s="1" t="n">
        <v>39.9145826353319</v>
      </c>
      <c r="AF66" s="1" t="n">
        <v>528.438055100242</v>
      </c>
      <c r="AG66" s="1" t="n">
        <v>703.82798723468</v>
      </c>
      <c r="AH66" s="1" t="n">
        <v>187.18920512</v>
      </c>
      <c r="AI66" s="1" t="n">
        <v>26.9280757446355</v>
      </c>
      <c r="AJ66" s="1" t="n">
        <v>275.3262723</v>
      </c>
      <c r="AK66" s="1" t="n">
        <v>7899.02380968737</v>
      </c>
      <c r="AL66" s="1" t="n">
        <v>1824.07244572591</v>
      </c>
      <c r="AM66" s="1" t="n">
        <v>6074.95136396145</v>
      </c>
      <c r="AN66" s="1" t="n">
        <v>3269.6811184767</v>
      </c>
      <c r="AQ66" s="3" t="n">
        <f aca="false">AG66-AH66</f>
        <v>516.63878211468</v>
      </c>
    </row>
    <row r="67" customFormat="false" ht="15" hidden="false" customHeight="false" outlineLevel="0" collapsed="false">
      <c r="A67" s="5" t="n">
        <v>42430</v>
      </c>
      <c r="B67" s="1" t="n">
        <v>104.445740305</v>
      </c>
      <c r="C67" s="1" t="n">
        <v>237.983691574667</v>
      </c>
      <c r="D67" s="17" t="n">
        <f aca="false">SUM(Data!C198:C200)</f>
        <v>712.159</v>
      </c>
      <c r="E67" s="17" t="n">
        <f aca="false">SUM(Data!D198:D200)</f>
        <v>9452.97</v>
      </c>
      <c r="F67" s="17" t="n">
        <f aca="false">SUM(Data!E198:E200)</f>
        <v>8570.03</v>
      </c>
      <c r="G67" s="17" t="n">
        <f aca="false">E67/F67</f>
        <v>1.10302647715352</v>
      </c>
      <c r="H67" s="17" t="n">
        <f aca="false">E67/O67</f>
        <v>0.426571812462137</v>
      </c>
      <c r="I67" s="1" t="n">
        <v>8852.643894325</v>
      </c>
      <c r="J67" s="1" t="n">
        <v>-1789.301916201</v>
      </c>
      <c r="K67" s="1" t="n">
        <v>3728.757836002</v>
      </c>
      <c r="L67" s="1" t="n">
        <v>3853.101901073</v>
      </c>
      <c r="M67" s="1" t="n">
        <v>-203.593915735</v>
      </c>
      <c r="N67" s="1" t="n">
        <v>35.8153500676667</v>
      </c>
      <c r="O67" s="1" t="n">
        <v>22160.325</v>
      </c>
      <c r="P67" s="1" t="n">
        <v>90.5922134133333</v>
      </c>
      <c r="Q67" s="3" t="n">
        <f aca="false">AVERAGE(Data!L198:L200)</f>
        <v>65.8200161027147</v>
      </c>
      <c r="R67" s="3" t="n">
        <f aca="false">AVERAGE(Data!M198:M200)</f>
        <v>108.307061047515</v>
      </c>
      <c r="S67" s="3" t="n">
        <f aca="false">Q67/R67</f>
        <v>0.607716758871696</v>
      </c>
      <c r="T67" s="3" t="n">
        <v>23282571.9648881</v>
      </c>
      <c r="U67" s="3" t="n">
        <f aca="false">AB67+AE67+AG67</f>
        <v>5196.68515652671</v>
      </c>
      <c r="V67" s="3" t="n">
        <f aca="false">AC67+AF67+AH67</f>
        <v>5274.72132753599</v>
      </c>
      <c r="W67" s="3" t="n">
        <f aca="false">U67/V67</f>
        <v>0.985205631508549</v>
      </c>
      <c r="X67" s="1" t="n">
        <v>3783.36403723996</v>
      </c>
      <c r="Y67" s="1" t="n">
        <v>3765.72310037978</v>
      </c>
      <c r="Z67" s="1" t="n">
        <v>668.758392960634</v>
      </c>
      <c r="AA67" s="1" t="n">
        <v>849.683754332773</v>
      </c>
      <c r="AB67" s="3" t="n">
        <f aca="false">X67+Z67</f>
        <v>4452.12243020059</v>
      </c>
      <c r="AC67" s="3" t="n">
        <f aca="false">Y67+AA67</f>
        <v>4615.40685471255</v>
      </c>
      <c r="AD67" s="3" t="n">
        <f aca="false">AB67/AC67</f>
        <v>0.964621878492632</v>
      </c>
      <c r="AE67" s="1" t="n">
        <v>38.9338132761111</v>
      </c>
      <c r="AF67" s="1" t="n">
        <v>505.525791723438</v>
      </c>
      <c r="AG67" s="1" t="n">
        <v>705.62891305</v>
      </c>
      <c r="AH67" s="1" t="n">
        <v>153.7886811</v>
      </c>
      <c r="AI67" s="1" t="n">
        <v>21.929</v>
      </c>
      <c r="AJ67" s="1" t="n">
        <v>553.43553395</v>
      </c>
      <c r="AK67" s="1" t="n">
        <v>7711.23256032402</v>
      </c>
      <c r="AL67" s="1" t="n">
        <v>1453.57987474137</v>
      </c>
      <c r="AM67" s="1" t="n">
        <v>6257.65268558265</v>
      </c>
      <c r="AN67" s="1" t="n">
        <v>3308.2266306748</v>
      </c>
      <c r="AQ67" s="3" t="n">
        <f aca="false">AG67-AH67</f>
        <v>551.84023195</v>
      </c>
    </row>
    <row r="68" customFormat="false" ht="15" hidden="false" customHeight="false" outlineLevel="0" collapsed="false">
      <c r="A68" s="5" t="n">
        <v>42522</v>
      </c>
      <c r="B68" s="1" t="n">
        <v>104.949361574333</v>
      </c>
      <c r="C68" s="1" t="n">
        <v>239.410613133667</v>
      </c>
      <c r="D68" s="17" t="n">
        <f aca="false">SUM(Data!C201:C203)</f>
        <v>720.508</v>
      </c>
      <c r="E68" s="17" t="n">
        <f aca="false">SUM(Data!D201:D203)</f>
        <v>9671.865</v>
      </c>
      <c r="F68" s="17" t="n">
        <f aca="false">SUM(Data!E201:E203)</f>
        <v>8721.015</v>
      </c>
      <c r="G68" s="17" t="n">
        <f aca="false">E68/F68</f>
        <v>1.10902974023093</v>
      </c>
      <c r="H68" s="17" t="n">
        <f aca="false">E68/O68</f>
        <v>0.410988285523054</v>
      </c>
      <c r="I68" s="1" t="n">
        <v>8096.503906477</v>
      </c>
      <c r="J68" s="1" t="n">
        <v>-1939.251534958</v>
      </c>
      <c r="K68" s="1" t="n">
        <v>4171.614801291</v>
      </c>
      <c r="L68" s="1" t="n">
        <v>3611.419170579</v>
      </c>
      <c r="M68" s="1" t="n">
        <v>563.497477406</v>
      </c>
      <c r="N68" s="1" t="n">
        <v>43.458137344</v>
      </c>
      <c r="O68" s="1" t="n">
        <v>23533.189</v>
      </c>
      <c r="P68" s="1" t="n">
        <v>91.0290351103333</v>
      </c>
      <c r="Q68" s="3" t="n">
        <f aca="false">AVERAGE(Data!L201:L203)</f>
        <v>66.2055731733634</v>
      </c>
      <c r="R68" s="3" t="n">
        <f aca="false">AVERAGE(Data!M201:M203)</f>
        <v>109.576799480485</v>
      </c>
      <c r="S68" s="3" t="n">
        <f aca="false">Q68/R68</f>
        <v>0.604193346467965</v>
      </c>
      <c r="T68" s="3" t="n">
        <v>24272826.0578393</v>
      </c>
      <c r="U68" s="3" t="n">
        <f aca="false">AB68+AE68+AG68</f>
        <v>5946.3650363308</v>
      </c>
      <c r="V68" s="3" t="n">
        <f aca="false">AC68+AF68+AH68</f>
        <v>5098.00654505242</v>
      </c>
      <c r="W68" s="3" t="n">
        <f aca="false">U68/V68</f>
        <v>1.16640984741412</v>
      </c>
      <c r="X68" s="1" t="n">
        <v>4457.28700887433</v>
      </c>
      <c r="Y68" s="1" t="n">
        <v>3621.78508258277</v>
      </c>
      <c r="Z68" s="1" t="n">
        <v>618.718337780252</v>
      </c>
      <c r="AA68" s="1" t="n">
        <v>843.981443971766</v>
      </c>
      <c r="AB68" s="3" t="n">
        <f aca="false">X68+Z68</f>
        <v>5076.00534665458</v>
      </c>
      <c r="AC68" s="3" t="n">
        <f aca="false">Y68+AA68</f>
        <v>4465.76652655454</v>
      </c>
      <c r="AD68" s="3" t="n">
        <f aca="false">AB68/AC68</f>
        <v>1.13664816923845</v>
      </c>
      <c r="AE68" s="1" t="n">
        <v>39.2760506919556</v>
      </c>
      <c r="AF68" s="1" t="n">
        <v>490.174170707881</v>
      </c>
      <c r="AG68" s="1" t="n">
        <v>831.08363898426</v>
      </c>
      <c r="AH68" s="1" t="n">
        <v>142.06584779</v>
      </c>
      <c r="AI68" s="1" t="n">
        <v>152.91386190574</v>
      </c>
      <c r="AJ68" s="1" t="n">
        <v>333.92703896</v>
      </c>
      <c r="AK68" s="1" t="n">
        <v>8255.91194717065</v>
      </c>
      <c r="AL68" s="1" t="n">
        <v>1748.73350394974</v>
      </c>
      <c r="AM68" s="1" t="n">
        <v>6507.17844322092</v>
      </c>
      <c r="AN68" s="1" t="n">
        <v>3787.5464996343</v>
      </c>
      <c r="AQ68" s="3" t="n">
        <f aca="false">AG68-AH68</f>
        <v>689.01779119426</v>
      </c>
    </row>
    <row r="69" customFormat="false" ht="15" hidden="false" customHeight="false" outlineLevel="0" collapsed="false">
      <c r="A69" s="5" t="n">
        <v>42614</v>
      </c>
      <c r="B69" s="1" t="n">
        <v>105.277881966333</v>
      </c>
      <c r="C69" s="1" t="n">
        <v>240.494604611667</v>
      </c>
      <c r="D69" s="17" t="n">
        <f aca="false">SUM(Data!C204:C206)</f>
        <v>722.905</v>
      </c>
      <c r="E69" s="17" t="n">
        <f aca="false">SUM(Data!D204:D206)</f>
        <v>10318.218</v>
      </c>
      <c r="F69" s="17" t="n">
        <f aca="false">SUM(Data!E204:E206)</f>
        <v>8572.258</v>
      </c>
      <c r="G69" s="17" t="n">
        <f aca="false">E69/F69</f>
        <v>1.20367562432209</v>
      </c>
      <c r="H69" s="17" t="n">
        <f aca="false">E69/O69</f>
        <v>0.428809861670391</v>
      </c>
      <c r="I69" s="1" t="n">
        <v>8587.723122693</v>
      </c>
      <c r="J69" s="1" t="n">
        <v>-1986.262956179</v>
      </c>
      <c r="K69" s="1" t="n">
        <v>4243.650395408</v>
      </c>
      <c r="L69" s="1" t="n">
        <v>3868.315666089</v>
      </c>
      <c r="M69" s="1" t="n">
        <v>388.070136582</v>
      </c>
      <c r="N69" s="1" t="n">
        <v>43.268645841</v>
      </c>
      <c r="O69" s="1" t="n">
        <v>24062.455</v>
      </c>
      <c r="P69" s="1" t="n">
        <v>91.3139810483333</v>
      </c>
      <c r="Q69" s="3" t="n">
        <f aca="false">AVERAGE(Data!L204:L206)</f>
        <v>66.275804822315</v>
      </c>
      <c r="R69" s="3" t="n">
        <f aca="false">AVERAGE(Data!M204:M206)</f>
        <v>109.941341703965</v>
      </c>
      <c r="S69" s="3" t="n">
        <f aca="false">Q69/R69</f>
        <v>0.602828779375582</v>
      </c>
      <c r="T69" s="3" t="n">
        <v>24617172.8257779</v>
      </c>
      <c r="U69" s="3" t="n">
        <f aca="false">AB69+AE69+AG69</f>
        <v>5913.51552914696</v>
      </c>
      <c r="V69" s="3" t="n">
        <f aca="false">AC69+AF69+AH69</f>
        <v>5790.25325559241</v>
      </c>
      <c r="W69" s="3" t="n">
        <f aca="false">U69/V69</f>
        <v>1.02128788985793</v>
      </c>
      <c r="X69" s="1" t="n">
        <v>4396.56439537471</v>
      </c>
      <c r="Y69" s="1" t="n">
        <v>4029.97308417665</v>
      </c>
      <c r="Z69" s="1" t="n">
        <v>680.810026792094</v>
      </c>
      <c r="AA69" s="1" t="n">
        <v>961.255015666481</v>
      </c>
      <c r="AB69" s="3" t="n">
        <f aca="false">X69+Z69</f>
        <v>5077.3744221668</v>
      </c>
      <c r="AC69" s="3" t="n">
        <f aca="false">Y69+AA69</f>
        <v>4991.22809984313</v>
      </c>
      <c r="AD69" s="3" t="n">
        <f aca="false">AB69/AC69</f>
        <v>1.01725954426454</v>
      </c>
      <c r="AE69" s="1" t="n">
        <v>42.6699113523447</v>
      </c>
      <c r="AF69" s="1" t="n">
        <v>477.852099679277</v>
      </c>
      <c r="AG69" s="1" t="n">
        <v>793.47119562781</v>
      </c>
      <c r="AH69" s="1" t="n">
        <v>321.17305607</v>
      </c>
      <c r="AI69" s="1" t="n">
        <v>171.08323472589</v>
      </c>
      <c r="AJ69" s="1" t="n">
        <v>2.8</v>
      </c>
      <c r="AK69" s="1" t="n">
        <v>8317.30430261943</v>
      </c>
      <c r="AL69" s="1" t="n">
        <v>1973.0724594016</v>
      </c>
      <c r="AM69" s="1" t="n">
        <v>6344.23184321782</v>
      </c>
      <c r="AN69" s="1" t="n">
        <v>3766.39143280798</v>
      </c>
      <c r="AQ69" s="3" t="n">
        <f aca="false">AG69-AH69</f>
        <v>472.29813955781</v>
      </c>
    </row>
    <row r="70" customFormat="false" ht="15" hidden="false" customHeight="false" outlineLevel="0" collapsed="false">
      <c r="A70" s="5" t="n">
        <v>42705</v>
      </c>
      <c r="B70" s="1" t="n">
        <v>105.339355176333</v>
      </c>
      <c r="C70" s="1" t="n">
        <v>242.150015247333</v>
      </c>
      <c r="D70" s="17" t="n">
        <f aca="false">SUM(Data!C207:C209)</f>
        <v>724.514</v>
      </c>
      <c r="E70" s="17" t="n">
        <f aca="false">SUM(Data!D207:D209)</f>
        <v>13736.147</v>
      </c>
      <c r="F70" s="17" t="n">
        <f aca="false">SUM(Data!E207:E209)</f>
        <v>10002.347</v>
      </c>
      <c r="G70" s="17" t="n">
        <f aca="false">E70/F70</f>
        <v>1.37329238827647</v>
      </c>
      <c r="H70" s="17" t="n">
        <f aca="false">E70/O70</f>
        <v>0.492062302531038</v>
      </c>
      <c r="I70" s="1" t="n">
        <v>10378.258221867</v>
      </c>
      <c r="J70" s="1" t="n">
        <v>-1646.699347201</v>
      </c>
      <c r="K70" s="1" t="n">
        <v>4632.624067179</v>
      </c>
      <c r="L70" s="1" t="n">
        <v>4227.449102785</v>
      </c>
      <c r="M70" s="1" t="n">
        <v>415.88418157</v>
      </c>
      <c r="N70" s="1" t="n">
        <v>50.2717732426667</v>
      </c>
      <c r="O70" s="1" t="n">
        <v>27915.463</v>
      </c>
      <c r="P70" s="1" t="n">
        <v>91.3673005436667</v>
      </c>
      <c r="Q70" s="3" t="n">
        <f aca="false">AVERAGE(Data!L207:L209)</f>
        <v>66.2233513005703</v>
      </c>
      <c r="R70" s="3" t="n">
        <f aca="false">AVERAGE(Data!M207:M209)</f>
        <v>110.186042762613</v>
      </c>
      <c r="S70" s="3" t="n">
        <f aca="false">Q70/R70</f>
        <v>0.601013972733763</v>
      </c>
      <c r="T70" s="3" t="n">
        <v>28202783.1556304</v>
      </c>
      <c r="U70" s="3" t="n">
        <f aca="false">AB70+AE70+AG70</f>
        <v>6335.7557805546</v>
      </c>
      <c r="V70" s="3" t="n">
        <f aca="false">AC70+AF70+AH70</f>
        <v>6136.28886577236</v>
      </c>
      <c r="W70" s="3" t="n">
        <f aca="false">U70/V70</f>
        <v>1.03250611552772</v>
      </c>
      <c r="X70" s="1" t="n">
        <v>4776.16005759208</v>
      </c>
      <c r="Y70" s="1" t="n">
        <v>4443.08246129489</v>
      </c>
      <c r="Z70" s="1" t="n">
        <v>707.2333311169</v>
      </c>
      <c r="AA70" s="1" t="n">
        <v>998.506787286246</v>
      </c>
      <c r="AB70" s="3" t="n">
        <f aca="false">X70+Z70</f>
        <v>5483.39338870898</v>
      </c>
      <c r="AC70" s="3" t="n">
        <f aca="false">Y70+AA70</f>
        <v>5441.58924858114</v>
      </c>
      <c r="AD70" s="3" t="n">
        <f aca="false">AB70/AC70</f>
        <v>1.00768234025358</v>
      </c>
      <c r="AE70" s="1" t="n">
        <v>42.2086531368004</v>
      </c>
      <c r="AF70" s="1" t="n">
        <v>504.428717741228</v>
      </c>
      <c r="AG70" s="1" t="n">
        <v>810.153738708816</v>
      </c>
      <c r="AH70" s="1" t="n">
        <v>190.27089945</v>
      </c>
      <c r="AI70" s="1" t="n">
        <v>73.6466963131918</v>
      </c>
      <c r="AJ70" s="1" t="n">
        <v>2.8</v>
      </c>
      <c r="AK70" s="1" t="n">
        <v>8785.48328262741</v>
      </c>
      <c r="AL70" s="1" t="n">
        <v>2161.33666608856</v>
      </c>
      <c r="AM70" s="1" t="n">
        <v>6624.14661653885</v>
      </c>
      <c r="AN70" s="1" t="n">
        <v>3391.20159046091</v>
      </c>
      <c r="AQ70" s="3" t="n">
        <f aca="false">AG70-AH70</f>
        <v>619.882839258816</v>
      </c>
    </row>
    <row r="71" customFormat="false" ht="15" hidden="false" customHeight="false" outlineLevel="0" collapsed="false">
      <c r="A71" s="5" t="n">
        <v>42795</v>
      </c>
      <c r="B71" s="1" t="n">
        <v>105.440051518333</v>
      </c>
      <c r="C71" s="1" t="n">
        <v>243.945497478333</v>
      </c>
      <c r="D71" s="17" t="n">
        <f aca="false">SUM(Data!C210:C212)</f>
        <v>730.243</v>
      </c>
      <c r="E71" s="17" t="n">
        <f aca="false">SUM(Data!D210:D212)</f>
        <v>9546.054</v>
      </c>
      <c r="F71" s="17" t="n">
        <f aca="false">SUM(Data!E210:E212)</f>
        <v>8988.104</v>
      </c>
      <c r="G71" s="17" t="n">
        <f aca="false">E71/F71</f>
        <v>1.06207649577709</v>
      </c>
      <c r="H71" s="17" t="n">
        <f aca="false">E71/O71</f>
        <v>0.386379319619252</v>
      </c>
      <c r="I71" s="1" t="n">
        <v>9340.968782041</v>
      </c>
      <c r="J71" s="1" t="n">
        <v>-1454.389603294</v>
      </c>
      <c r="K71" s="1" t="n">
        <v>4845.276925607</v>
      </c>
      <c r="L71" s="1" t="n">
        <v>4423.23182728</v>
      </c>
      <c r="M71" s="1" t="n">
        <v>382.876687498</v>
      </c>
      <c r="N71" s="1" t="n">
        <v>53.978017569</v>
      </c>
      <c r="O71" s="1" t="n">
        <v>24706.431</v>
      </c>
      <c r="P71" s="1" t="n">
        <v>91.4546406733333</v>
      </c>
      <c r="Q71" s="3" t="n">
        <f aca="false">AVERAGE(Data!L210:L212)</f>
        <v>66.4376350673636</v>
      </c>
      <c r="R71" s="3" t="n">
        <f aca="false">AVERAGE(Data!M210:M212)</f>
        <v>111.057324530787</v>
      </c>
      <c r="S71" s="3" t="n">
        <f aca="false">Q71/R71</f>
        <v>0.598228305499526</v>
      </c>
      <c r="T71" s="3" t="n">
        <v>24966378.2597582</v>
      </c>
      <c r="U71" s="3" t="n">
        <f aca="false">AB71+AE71+AG71</f>
        <v>6319.05208566324</v>
      </c>
      <c r="V71" s="3" t="n">
        <f aca="false">AC71+AF71+AH71</f>
        <v>5930.22547499348</v>
      </c>
      <c r="W71" s="3" t="n">
        <f aca="false">U71/V71</f>
        <v>1.06556691854456</v>
      </c>
      <c r="X71" s="1" t="n">
        <v>4831.59611392997</v>
      </c>
      <c r="Y71" s="1" t="n">
        <v>4316.90429363458</v>
      </c>
      <c r="Z71" s="1" t="n">
        <v>701.200722958954</v>
      </c>
      <c r="AA71" s="1" t="n">
        <v>827.279066873634</v>
      </c>
      <c r="AB71" s="3" t="n">
        <f aca="false">X71+Z71</f>
        <v>5532.79683688892</v>
      </c>
      <c r="AC71" s="3" t="n">
        <f aca="false">Y71+AA71</f>
        <v>5144.18336050822</v>
      </c>
      <c r="AD71" s="3" t="n">
        <f aca="false">AB71/AC71</f>
        <v>1.07554425049544</v>
      </c>
      <c r="AE71" s="1" t="n">
        <v>44.3647070243153</v>
      </c>
      <c r="AF71" s="1" t="n">
        <v>642.197230685266</v>
      </c>
      <c r="AG71" s="1" t="n">
        <v>741.89054175</v>
      </c>
      <c r="AH71" s="1" t="n">
        <v>143.8448838</v>
      </c>
      <c r="AI71" s="1" t="n">
        <v>21.542</v>
      </c>
      <c r="AJ71" s="1" t="n">
        <v>2.8</v>
      </c>
      <c r="AK71" s="1" t="n">
        <v>8739.94005904649</v>
      </c>
      <c r="AL71" s="1" t="n">
        <v>2308.1093838712</v>
      </c>
      <c r="AM71" s="1" t="n">
        <v>6431.8306751753</v>
      </c>
      <c r="AN71" s="1" t="n">
        <v>3483.40645732474</v>
      </c>
      <c r="AQ71" s="3" t="n">
        <f aca="false">AG71-AH71</f>
        <v>598.04565795</v>
      </c>
    </row>
    <row r="72" customFormat="false" ht="15" hidden="false" customHeight="false" outlineLevel="0" collapsed="false">
      <c r="A72" s="5" t="n">
        <v>42887</v>
      </c>
      <c r="B72" s="1" t="n">
        <v>105.768329661</v>
      </c>
      <c r="C72" s="1" t="n">
        <v>244.045053258333</v>
      </c>
      <c r="D72" s="17" t="n">
        <f aca="false">SUM(Data!C213:C215)</f>
        <v>734.212</v>
      </c>
      <c r="E72" s="17" t="n">
        <f aca="false">SUM(Data!D213:D215)</f>
        <v>9934.307</v>
      </c>
      <c r="F72" s="17" t="n">
        <f aca="false">SUM(Data!E213:E215)</f>
        <v>9507.257</v>
      </c>
      <c r="G72" s="17" t="n">
        <f aca="false">E72/F72</f>
        <v>1.0449183187117</v>
      </c>
      <c r="H72" s="17" t="n">
        <f aca="false">E72/O72</f>
        <v>0.387120266881053</v>
      </c>
      <c r="I72" s="1" t="n">
        <v>8853.603329257</v>
      </c>
      <c r="J72" s="1" t="n">
        <v>-1392.409407002</v>
      </c>
      <c r="K72" s="1" t="n">
        <v>4528.493539347</v>
      </c>
      <c r="L72" s="1" t="n">
        <v>4611.554456169</v>
      </c>
      <c r="M72" s="1" t="n">
        <v>-60.571980558</v>
      </c>
      <c r="N72" s="1" t="n">
        <v>46.4509627636667</v>
      </c>
      <c r="O72" s="1" t="n">
        <v>25662.069</v>
      </c>
      <c r="P72" s="1" t="n">
        <v>91.7393764936667</v>
      </c>
      <c r="Q72" s="3" t="n">
        <f aca="false">AVERAGE(Data!L213:L215)</f>
        <v>66.7235729189427</v>
      </c>
      <c r="R72" s="3" t="n">
        <f aca="false">AVERAGE(Data!M213:M215)</f>
        <v>111.660940753144</v>
      </c>
      <c r="S72" s="3" t="n">
        <f aca="false">Q72/R72</f>
        <v>0.597555174342054</v>
      </c>
      <c r="T72" s="3" t="n">
        <v>26282121.6481335</v>
      </c>
      <c r="U72" s="3" t="n">
        <f aca="false">AB72+AE72+AG72</f>
        <v>6349.62553464287</v>
      </c>
      <c r="V72" s="3" t="n">
        <f aca="false">AC72+AF72+AH72</f>
        <v>6249.11156246241</v>
      </c>
      <c r="W72" s="3" t="n">
        <f aca="false">U72/V72</f>
        <v>1.01608452196377</v>
      </c>
      <c r="X72" s="1" t="n">
        <v>4776.64853419686</v>
      </c>
      <c r="Y72" s="1" t="n">
        <v>4624.3469473336</v>
      </c>
      <c r="Z72" s="1" t="n">
        <v>710.969426794153</v>
      </c>
      <c r="AA72" s="1" t="n">
        <v>882.012951486226</v>
      </c>
      <c r="AB72" s="3" t="n">
        <f aca="false">X72+Z72</f>
        <v>5487.61796099101</v>
      </c>
      <c r="AC72" s="3" t="n">
        <f aca="false">Y72+AA72</f>
        <v>5506.35989881983</v>
      </c>
      <c r="AD72" s="3" t="n">
        <f aca="false">AB72/AC72</f>
        <v>0.996596310780044</v>
      </c>
      <c r="AE72" s="1" t="n">
        <v>43.5507366918608</v>
      </c>
      <c r="AF72" s="1" t="n">
        <v>595.480714442581</v>
      </c>
      <c r="AG72" s="1" t="n">
        <v>818.45683696</v>
      </c>
      <c r="AH72" s="1" t="n">
        <v>147.2709492</v>
      </c>
      <c r="AI72" s="1" t="n">
        <v>25.316</v>
      </c>
      <c r="AJ72" s="1" t="n">
        <v>2.8</v>
      </c>
      <c r="AK72" s="1" t="n">
        <v>9203.83208735508</v>
      </c>
      <c r="AL72" s="1" t="n">
        <v>2219.4239024525</v>
      </c>
      <c r="AM72" s="1" t="n">
        <v>6984.40818490258</v>
      </c>
      <c r="AN72" s="1" t="n">
        <v>3949.55657744484</v>
      </c>
      <c r="AQ72" s="3" t="n">
        <f aca="false">AG72-AH72</f>
        <v>671.18588776</v>
      </c>
    </row>
    <row r="73" customFormat="false" ht="15" hidden="false" customHeight="false" outlineLevel="0" collapsed="false">
      <c r="A73" s="5" t="n">
        <v>42979</v>
      </c>
      <c r="B73" s="1" t="n">
        <v>105.391444278</v>
      </c>
      <c r="C73" s="1" t="n">
        <v>245.278534959333</v>
      </c>
      <c r="D73" s="17" t="n">
        <f aca="false">SUM(Data!C216:C218)</f>
        <v>737.124</v>
      </c>
      <c r="E73" s="17" t="n">
        <f aca="false">SUM(Data!D216:D218)</f>
        <v>9601.519</v>
      </c>
      <c r="F73" s="17" t="n">
        <f aca="false">SUM(Data!E216:E218)</f>
        <v>8849.389</v>
      </c>
      <c r="G73" s="17" t="n">
        <f aca="false">E73/F73</f>
        <v>1.08499230850853</v>
      </c>
      <c r="H73" s="17" t="n">
        <f aca="false">E73/O73</f>
        <v>0.378061066969183</v>
      </c>
      <c r="I73" s="1" t="n">
        <v>8909.432827057</v>
      </c>
      <c r="J73" s="1" t="n">
        <v>-902.322633691</v>
      </c>
      <c r="K73" s="1" t="n">
        <v>4649.771798836</v>
      </c>
      <c r="L73" s="1" t="n">
        <v>4921.951541587</v>
      </c>
      <c r="M73" s="1" t="n">
        <v>-292.560226233</v>
      </c>
      <c r="N73" s="1" t="n">
        <v>47.0048391116667</v>
      </c>
      <c r="O73" s="1" t="n">
        <v>25396.741</v>
      </c>
      <c r="P73" s="1" t="n">
        <v>91.4124806243333</v>
      </c>
      <c r="Q73" s="3" t="n">
        <f aca="false">AVERAGE(Data!L216:L218)</f>
        <v>66.3545398829908</v>
      </c>
      <c r="R73" s="3" t="n">
        <f aca="false">AVERAGE(Data!M216:M218)</f>
        <v>112.103805565314</v>
      </c>
      <c r="S73" s="3" t="n">
        <f aca="false">Q73/R73</f>
        <v>0.591902652620756</v>
      </c>
      <c r="T73" s="3" t="n">
        <v>26026696.7691517</v>
      </c>
      <c r="U73" s="3" t="n">
        <f aca="false">AB73+AE73+AG73</f>
        <v>6386.00949567633</v>
      </c>
      <c r="V73" s="3" t="n">
        <f aca="false">AC73+AF73+AH73</f>
        <v>6820.81720257312</v>
      </c>
      <c r="W73" s="3" t="n">
        <f aca="false">U73/V73</f>
        <v>0.936252842733747</v>
      </c>
      <c r="X73" s="1" t="n">
        <v>4731.65001244286</v>
      </c>
      <c r="Y73" s="1" t="n">
        <v>5045.28353997354</v>
      </c>
      <c r="Z73" s="1" t="n">
        <v>748.003189550933</v>
      </c>
      <c r="AA73" s="1" t="n">
        <v>943.567080660752</v>
      </c>
      <c r="AB73" s="3" t="n">
        <f aca="false">X73+Z73</f>
        <v>5479.65320199379</v>
      </c>
      <c r="AC73" s="3" t="n">
        <f aca="false">Y73+AA73</f>
        <v>5988.85062063429</v>
      </c>
      <c r="AD73" s="3" t="n">
        <f aca="false">AB73/AC73</f>
        <v>0.914975768992119</v>
      </c>
      <c r="AE73" s="1" t="n">
        <v>44.534012772378</v>
      </c>
      <c r="AF73" s="1" t="n">
        <v>635.43606091883</v>
      </c>
      <c r="AG73" s="1" t="n">
        <v>861.82228091016</v>
      </c>
      <c r="AH73" s="1" t="n">
        <v>196.53052102</v>
      </c>
      <c r="AI73" s="1" t="n">
        <v>61.94072543984</v>
      </c>
      <c r="AJ73" s="1" t="n">
        <v>2.8</v>
      </c>
      <c r="AK73" s="1" t="n">
        <v>9000.436577218</v>
      </c>
      <c r="AL73" s="1" t="n">
        <v>2291.30453047818</v>
      </c>
      <c r="AM73" s="1" t="n">
        <v>6709.13204673983</v>
      </c>
      <c r="AN73" s="1" t="n">
        <v>3506.6450921597</v>
      </c>
      <c r="AQ73" s="3" t="n">
        <f aca="false">AG73-AH73</f>
        <v>665.29175989016</v>
      </c>
    </row>
    <row r="74" customFormat="false" ht="15" hidden="false" customHeight="false" outlineLevel="0" collapsed="false">
      <c r="A74" s="5" t="n">
        <v>43070</v>
      </c>
      <c r="B74" s="1" t="n">
        <v>105.160971133</v>
      </c>
      <c r="C74" s="1" t="n">
        <v>247.216807919</v>
      </c>
      <c r="D74" s="17" t="n">
        <f aca="false">SUM(Data!C219:C221)</f>
        <v>739.856</v>
      </c>
      <c r="E74" s="17" t="n">
        <f aca="false">SUM(Data!D219:D221)</f>
        <v>13302.514</v>
      </c>
      <c r="F74" s="17" t="n">
        <f aca="false">SUM(Data!E219:E221)</f>
        <v>10386.654</v>
      </c>
      <c r="G74" s="17" t="n">
        <f aca="false">E74/F74</f>
        <v>1.28073140782392</v>
      </c>
      <c r="H74" s="17" t="n">
        <f aca="false">E74/O74</f>
        <v>0.46346597626771</v>
      </c>
      <c r="I74" s="1" t="n">
        <v>10772.684813495</v>
      </c>
      <c r="J74" s="1" t="n">
        <v>-957.804433523</v>
      </c>
      <c r="K74" s="1" t="n">
        <v>5105.296918611</v>
      </c>
      <c r="L74" s="1" t="n">
        <v>5084.347110557</v>
      </c>
      <c r="M74" s="1" t="n">
        <v>10.123867517</v>
      </c>
      <c r="N74" s="1" t="n">
        <v>56.5681622953333</v>
      </c>
      <c r="O74" s="1" t="n">
        <v>28702.245</v>
      </c>
      <c r="P74" s="1" t="n">
        <v>91.2125770933333</v>
      </c>
      <c r="Q74" s="3" t="n">
        <f aca="false">AVERAGE(Data!L219:L221)</f>
        <v>66.1123780105425</v>
      </c>
      <c r="R74" s="3" t="n">
        <f aca="false">AVERAGE(Data!M219:M221)</f>
        <v>112.519295492117</v>
      </c>
      <c r="S74" s="3" t="n">
        <f aca="false">Q74/R74</f>
        <v>0.587564805853004</v>
      </c>
      <c r="T74" s="3" t="n">
        <v>29092967.4384347</v>
      </c>
      <c r="U74" s="3" t="n">
        <f aca="false">AB74+AE74+AG74</f>
        <v>6980.53877252733</v>
      </c>
      <c r="V74" s="3" t="n">
        <f aca="false">AC74+AF74+AH74</f>
        <v>7219.36232362149</v>
      </c>
      <c r="W74" s="3" t="n">
        <f aca="false">U74/V74</f>
        <v>0.966919024092648</v>
      </c>
      <c r="X74" s="1" t="n">
        <v>5209.17436685671</v>
      </c>
      <c r="Y74" s="1" t="n">
        <v>5308.65630883223</v>
      </c>
      <c r="Z74" s="1" t="n">
        <v>821.071538535219</v>
      </c>
      <c r="AA74" s="1" t="n">
        <v>1073.7600276796</v>
      </c>
      <c r="AB74" s="3" t="n">
        <f aca="false">X74+Z74</f>
        <v>6030.24590539193</v>
      </c>
      <c r="AC74" s="3" t="n">
        <f aca="false">Y74+AA74</f>
        <v>6382.41633651183</v>
      </c>
      <c r="AD74" s="3" t="n">
        <f aca="false">AB74/AC74</f>
        <v>0.944821770854207</v>
      </c>
      <c r="AE74" s="1" t="n">
        <v>52.5820708395712</v>
      </c>
      <c r="AF74" s="1" t="n">
        <v>631.649994089664</v>
      </c>
      <c r="AG74" s="1" t="n">
        <v>897.710796295825</v>
      </c>
      <c r="AH74" s="1" t="n">
        <v>205.29599302</v>
      </c>
      <c r="AI74" s="1" t="n">
        <v>27.5828750871026</v>
      </c>
      <c r="AJ74" s="1" t="n">
        <v>2.8</v>
      </c>
      <c r="AK74" s="1" t="n">
        <v>9345.76014168285</v>
      </c>
      <c r="AL74" s="1" t="n">
        <v>2842.98962337527</v>
      </c>
      <c r="AM74" s="1" t="n">
        <v>6502.77051830758</v>
      </c>
      <c r="AN74" s="1" t="n">
        <v>3414.22906865434</v>
      </c>
      <c r="AQ74" s="3" t="n">
        <f aca="false">AG74-AH74</f>
        <v>692.414803275825</v>
      </c>
    </row>
    <row r="75" customFormat="false" ht="15" hidden="false" customHeight="false" outlineLevel="0" collapsed="false">
      <c r="A75" s="5" t="n">
        <v>43160</v>
      </c>
      <c r="B75" s="1" t="n">
        <v>105.297188209</v>
      </c>
      <c r="C75" s="1" t="n">
        <v>249.282615271333</v>
      </c>
      <c r="D75" s="17" t="n">
        <f aca="false">SUM(Data!C222:C224)</f>
        <v>746.412</v>
      </c>
      <c r="E75" s="17" t="n">
        <f aca="false">SUM(Data!D222:D224)</f>
        <v>9376.631</v>
      </c>
      <c r="F75" s="17" t="n">
        <f aca="false">SUM(Data!E222:E224)</f>
        <v>9236.901</v>
      </c>
      <c r="G75" s="17" t="n">
        <f aca="false">E75/F75</f>
        <v>1.01512736793433</v>
      </c>
      <c r="H75" s="17" t="n">
        <f aca="false">E75/O75</f>
        <v>0.368123577866991</v>
      </c>
      <c r="I75" s="1" t="n">
        <v>9614.167310866</v>
      </c>
      <c r="J75" s="1" t="n">
        <v>-1032.845882995</v>
      </c>
      <c r="K75" s="1" t="n">
        <v>5325.616941691</v>
      </c>
      <c r="L75" s="1" t="n">
        <v>5236.494807774</v>
      </c>
      <c r="M75" s="1" t="n">
        <v>93.118595285</v>
      </c>
      <c r="N75" s="1" t="n">
        <v>64.078803329</v>
      </c>
      <c r="O75" s="1" t="n">
        <v>25471.422</v>
      </c>
      <c r="P75" s="1" t="n">
        <v>91.33072654</v>
      </c>
      <c r="Q75" s="3" t="n">
        <f aca="false">AVERAGE(Data!L222:L224)</f>
        <v>66.3387281435006</v>
      </c>
      <c r="R75" s="3" t="n">
        <f aca="false">AVERAGE(Data!M222:M224)</f>
        <v>113.516349650286</v>
      </c>
      <c r="S75" s="3" t="n">
        <f aca="false">Q75/R75</f>
        <v>0.584398003881139</v>
      </c>
      <c r="T75" s="3" t="n">
        <v>25251450.8924063</v>
      </c>
      <c r="U75" s="3" t="n">
        <f aca="false">AB75+AE75+AG75</f>
        <v>6972.60979423722</v>
      </c>
      <c r="V75" s="3" t="n">
        <f aca="false">AC75+AF75+AH75</f>
        <v>6989.46298504222</v>
      </c>
      <c r="W75" s="3" t="n">
        <f aca="false">U75/V75</f>
        <v>0.997588771720937</v>
      </c>
      <c r="X75" s="1" t="n">
        <v>5320.03886515532</v>
      </c>
      <c r="Y75" s="1" t="n">
        <v>5068.92347191538</v>
      </c>
      <c r="Z75" s="1" t="n">
        <v>778.033704271785</v>
      </c>
      <c r="AA75" s="1" t="n">
        <v>889.646195282541</v>
      </c>
      <c r="AB75" s="3" t="n">
        <f aca="false">X75+Z75</f>
        <v>6098.07256942711</v>
      </c>
      <c r="AC75" s="3" t="n">
        <f aca="false">Y75+AA75</f>
        <v>5958.56966719792</v>
      </c>
      <c r="AD75" s="3" t="n">
        <f aca="false">AB75/AC75</f>
        <v>1.0234121458707</v>
      </c>
      <c r="AE75" s="1" t="n">
        <v>59.6777415132153</v>
      </c>
      <c r="AF75" s="1" t="n">
        <v>695.043752504293</v>
      </c>
      <c r="AG75" s="1" t="n">
        <v>814.859483296897</v>
      </c>
      <c r="AH75" s="1" t="n">
        <v>335.84956534</v>
      </c>
      <c r="AI75" s="1" t="n">
        <v>21.918</v>
      </c>
      <c r="AJ75" s="1" t="n">
        <v>2.8</v>
      </c>
      <c r="AK75" s="1" t="n">
        <v>9452.27301392869</v>
      </c>
      <c r="AL75" s="1" t="n">
        <v>2834.48952757075</v>
      </c>
      <c r="AM75" s="1" t="n">
        <v>6617.78348635794</v>
      </c>
      <c r="AN75" s="1" t="n">
        <v>3539.40242876678</v>
      </c>
      <c r="AQ75" s="3" t="n">
        <f aca="false">AG75-AH75</f>
        <v>479.009917956897</v>
      </c>
    </row>
    <row r="76" customFormat="false" ht="15" hidden="false" customHeight="false" outlineLevel="0" collapsed="false">
      <c r="A76" s="5" t="n">
        <v>43252</v>
      </c>
      <c r="B76" s="1" t="n">
        <v>104.885686629333</v>
      </c>
      <c r="C76" s="1" t="n">
        <v>250.747852785</v>
      </c>
      <c r="D76" s="17" t="n">
        <f aca="false">SUM(Data!C225:C227)</f>
        <v>754.123</v>
      </c>
      <c r="E76" s="17" t="n">
        <f aca="false">SUM(Data!D225:D227)</f>
        <v>10455.525</v>
      </c>
      <c r="F76" s="17" t="n">
        <f aca="false">SUM(Data!E225:E227)</f>
        <v>10509.415</v>
      </c>
      <c r="G76" s="17" t="n">
        <f aca="false">E76/F76</f>
        <v>0.994872216959745</v>
      </c>
      <c r="H76" s="17" t="n">
        <f aca="false">E76/O76</f>
        <v>0.397491681606864</v>
      </c>
      <c r="I76" s="1" t="n">
        <v>9820.417483313</v>
      </c>
      <c r="J76" s="1" t="n">
        <v>-872.821892242</v>
      </c>
      <c r="K76" s="1" t="n">
        <v>5386.653749472</v>
      </c>
      <c r="L76" s="1" t="n">
        <v>5558.597085025</v>
      </c>
      <c r="M76" s="1" t="n">
        <v>-122.967833992</v>
      </c>
      <c r="N76" s="1" t="n">
        <v>66.6560888793333</v>
      </c>
      <c r="O76" s="1" t="n">
        <v>26303.758</v>
      </c>
      <c r="P76" s="1" t="n">
        <v>90.973805914</v>
      </c>
      <c r="Q76" s="3" t="n">
        <f aca="false">AVERAGE(Data!L225:L227)</f>
        <v>66.1672887546068</v>
      </c>
      <c r="R76" s="3" t="n">
        <f aca="false">AVERAGE(Data!M225:M227)</f>
        <v>114.689059322897</v>
      </c>
      <c r="S76" s="3" t="n">
        <f aca="false">Q76/R76</f>
        <v>0.576927643711146</v>
      </c>
      <c r="T76" s="3" t="n">
        <v>26416798.8483991</v>
      </c>
      <c r="U76" s="3" t="n">
        <f aca="false">AB76+AE76+AG76</f>
        <v>7385.93792564987</v>
      </c>
      <c r="V76" s="3" t="n">
        <f aca="false">AC76+AF76+AH76</f>
        <v>7486.43893046636</v>
      </c>
      <c r="W76" s="3" t="n">
        <f aca="false">U76/V76</f>
        <v>0.986575592781837</v>
      </c>
      <c r="X76" s="1" t="n">
        <v>5656.76481540303</v>
      </c>
      <c r="Y76" s="1" t="n">
        <v>5572.37575428649</v>
      </c>
      <c r="Z76" s="1" t="n">
        <v>783.69727259918</v>
      </c>
      <c r="AA76" s="1" t="n">
        <v>882.654187923984</v>
      </c>
      <c r="AB76" s="3" t="n">
        <f aca="false">X76+Z76</f>
        <v>6440.46208800221</v>
      </c>
      <c r="AC76" s="3" t="n">
        <f aca="false">Y76+AA76</f>
        <v>6455.02994221047</v>
      </c>
      <c r="AD76" s="3" t="n">
        <f aca="false">AB76/AC76</f>
        <v>0.997743177903327</v>
      </c>
      <c r="AE76" s="1" t="n">
        <v>61.138068877662</v>
      </c>
      <c r="AF76" s="1" t="n">
        <v>763.951936135888</v>
      </c>
      <c r="AG76" s="1" t="n">
        <v>884.33776877</v>
      </c>
      <c r="AH76" s="1" t="n">
        <v>267.45705212</v>
      </c>
      <c r="AI76" s="1" t="n">
        <v>25.345</v>
      </c>
      <c r="AJ76" s="1" t="n">
        <v>264.830899</v>
      </c>
      <c r="AK76" s="1" t="n">
        <v>10529.8142316058</v>
      </c>
      <c r="AL76" s="1" t="n">
        <v>3074.09871100445</v>
      </c>
      <c r="AM76" s="1" t="n">
        <v>7455.71552060137</v>
      </c>
      <c r="AN76" s="1" t="n">
        <v>4017.28924632885</v>
      </c>
      <c r="AQ76" s="3" t="n">
        <f aca="false">AG76-AH76</f>
        <v>616.88071665</v>
      </c>
    </row>
    <row r="77" customFormat="false" ht="15" hidden="false" customHeight="false" outlineLevel="0" collapsed="false">
      <c r="A77" s="5" t="n">
        <v>43344</v>
      </c>
      <c r="B77" s="1" t="n">
        <v>105.153510085667</v>
      </c>
      <c r="C77" s="1" t="n">
        <v>251.764029154333</v>
      </c>
      <c r="D77" s="17" t="n">
        <f aca="false">SUM(Data!C228:C230)</f>
        <v>756.591</v>
      </c>
      <c r="E77" s="17" t="n">
        <f aca="false">SUM(Data!D228:D230)</f>
        <v>10842.241</v>
      </c>
      <c r="F77" s="17" t="n">
        <f aca="false">SUM(Data!E228:E230)</f>
        <v>10080.671</v>
      </c>
      <c r="G77" s="17" t="n">
        <f aca="false">E77/F77</f>
        <v>1.07554755035652</v>
      </c>
      <c r="H77" s="17" t="n">
        <f aca="false">E77/O77</f>
        <v>0.405399318800703</v>
      </c>
      <c r="I77" s="1" t="n">
        <v>10167.792300614</v>
      </c>
      <c r="J77" s="1" t="n">
        <v>-867.041746637</v>
      </c>
      <c r="K77" s="1" t="n">
        <v>5580.779358492</v>
      </c>
      <c r="L77" s="1" t="n">
        <v>5647.864562404</v>
      </c>
      <c r="M77" s="1" t="n">
        <v>-102.081766269</v>
      </c>
      <c r="N77" s="1" t="n">
        <v>68.7768229893333</v>
      </c>
      <c r="O77" s="1" t="n">
        <v>26744.596</v>
      </c>
      <c r="P77" s="1" t="n">
        <v>91.2061056676667</v>
      </c>
      <c r="Q77" s="3" t="n">
        <f aca="false">AVERAGE(Data!L228:L230)</f>
        <v>66.208239957125</v>
      </c>
      <c r="R77" s="3" t="n">
        <f aca="false">AVERAGE(Data!M228:M230)</f>
        <v>115.064399417827</v>
      </c>
      <c r="S77" s="3" t="n">
        <f aca="false">Q77/R77</f>
        <v>0.57540160372894</v>
      </c>
      <c r="T77" s="3" t="n">
        <v>26612319.2614264</v>
      </c>
      <c r="U77" s="3" t="n">
        <f aca="false">AB77+AE77+AG77</f>
        <v>7476.47636456268</v>
      </c>
      <c r="V77" s="3" t="n">
        <f aca="false">AC77+AF77+AH77</f>
        <v>7788.62990545226</v>
      </c>
      <c r="W77" s="3" t="n">
        <f aca="false">U77/V77</f>
        <v>0.959921893236825</v>
      </c>
      <c r="X77" s="1" t="n">
        <v>5706.68655390897</v>
      </c>
      <c r="Y77" s="1" t="n">
        <v>5817.55189132838</v>
      </c>
      <c r="Z77" s="1" t="n">
        <v>826.991726458893</v>
      </c>
      <c r="AA77" s="1" t="n">
        <v>1014.20258767004</v>
      </c>
      <c r="AB77" s="3" t="n">
        <f aca="false">X77+Z77</f>
        <v>6533.67828036786</v>
      </c>
      <c r="AC77" s="3" t="n">
        <f aca="false">Y77+AA77</f>
        <v>6831.75447899842</v>
      </c>
      <c r="AD77" s="3" t="n">
        <f aca="false">AB77/AC77</f>
        <v>0.956369011862637</v>
      </c>
      <c r="AE77" s="1" t="n">
        <v>59.4159478145226</v>
      </c>
      <c r="AF77" s="1" t="n">
        <v>765.789307113835</v>
      </c>
      <c r="AG77" s="1" t="n">
        <v>883.382136380294</v>
      </c>
      <c r="AH77" s="1" t="n">
        <v>191.08611934</v>
      </c>
      <c r="AI77" s="1" t="n">
        <v>22.624</v>
      </c>
      <c r="AJ77" s="1" t="n">
        <v>2.8</v>
      </c>
      <c r="AK77" s="1" t="n">
        <v>10166.7084605451</v>
      </c>
      <c r="AL77" s="1" t="n">
        <v>3488.15193205533</v>
      </c>
      <c r="AM77" s="1" t="n">
        <v>6678.55652848973</v>
      </c>
      <c r="AN77" s="1" t="n">
        <v>3615.8050429934</v>
      </c>
      <c r="AQ77" s="3" t="n">
        <f aca="false">AG77-AH77</f>
        <v>692.296017040294</v>
      </c>
    </row>
    <row r="78" customFormat="false" ht="15" hidden="false" customHeight="false" outlineLevel="0" collapsed="false">
      <c r="A78" s="5" t="n">
        <v>43435</v>
      </c>
      <c r="B78" s="1" t="n">
        <v>105.477787418333</v>
      </c>
      <c r="C78" s="1" t="n">
        <v>252.634113358667</v>
      </c>
      <c r="D78" s="17" t="n">
        <f aca="false">SUM(Data!C231:C233)</f>
        <v>756.156</v>
      </c>
      <c r="E78" s="17" t="n">
        <f aca="false">SUM(Data!D231:D233)</f>
        <v>13388.878</v>
      </c>
      <c r="F78" s="17" t="n">
        <f aca="false">SUM(Data!E231:E233)</f>
        <v>10867.308</v>
      </c>
      <c r="G78" s="17" t="n">
        <f aca="false">E78/F78</f>
        <v>1.232032624823</v>
      </c>
      <c r="H78" s="17" t="n">
        <f aca="false">E78/O78</f>
        <v>0.462336162510656</v>
      </c>
      <c r="I78" s="1" t="n">
        <v>10960.59038249</v>
      </c>
      <c r="J78" s="1" t="n">
        <v>-625.735630705</v>
      </c>
      <c r="K78" s="1" t="n">
        <v>5334.561653128</v>
      </c>
      <c r="L78" s="1" t="n">
        <v>5674.68561796</v>
      </c>
      <c r="M78" s="1" t="n">
        <v>-360.900280748</v>
      </c>
      <c r="N78" s="1" t="n">
        <v>60.1107648476667</v>
      </c>
      <c r="O78" s="1" t="n">
        <v>28959.184</v>
      </c>
      <c r="P78" s="1" t="n">
        <v>91.48737134</v>
      </c>
      <c r="Q78" s="3" t="n">
        <f aca="false">AVERAGE(Data!L231:L233)</f>
        <v>66.3191619051703</v>
      </c>
      <c r="R78" s="3" t="n">
        <f aca="false">AVERAGE(Data!M231:M233)</f>
        <v>114.998243444856</v>
      </c>
      <c r="S78" s="3" t="n">
        <f aca="false">Q78/R78</f>
        <v>0.576697173091793</v>
      </c>
      <c r="T78" s="3" t="n">
        <v>29198391.9977683</v>
      </c>
      <c r="U78" s="3" t="n">
        <f aca="false">AB78+AE78+AG78</f>
        <v>7295.61140459655</v>
      </c>
      <c r="V78" s="3" t="n">
        <f aca="false">AC78+AF78+AH78</f>
        <v>8178.22913602044</v>
      </c>
      <c r="W78" s="3" t="n">
        <f aca="false">U78/V78</f>
        <v>0.892077157934294</v>
      </c>
      <c r="X78" s="1" t="n">
        <v>5473.68916581677</v>
      </c>
      <c r="Y78" s="1" t="n">
        <v>5901.5872935874</v>
      </c>
      <c r="Z78" s="1" t="n">
        <v>860.420670563595</v>
      </c>
      <c r="AA78" s="1" t="n">
        <v>1149.20627232152</v>
      </c>
      <c r="AB78" s="3" t="n">
        <f aca="false">X78+Z78</f>
        <v>6334.10983638037</v>
      </c>
      <c r="AC78" s="3" t="n">
        <f aca="false">Y78+AA78</f>
        <v>7050.79356590892</v>
      </c>
      <c r="AD78" s="3" t="n">
        <f aca="false">AB78/AC78</f>
        <v>0.898354174912485</v>
      </c>
      <c r="AE78" s="1" t="n">
        <v>55.6107889126034</v>
      </c>
      <c r="AF78" s="1" t="n">
        <v>842.219838811523</v>
      </c>
      <c r="AG78" s="1" t="n">
        <v>905.890779303583</v>
      </c>
      <c r="AH78" s="1" t="n">
        <v>285.2157313</v>
      </c>
      <c r="AI78" s="1" t="n">
        <v>28.1920038379737</v>
      </c>
      <c r="AJ78" s="1" t="n">
        <v>2.8</v>
      </c>
      <c r="AK78" s="1" t="n">
        <v>10852.3502262165</v>
      </c>
      <c r="AL78" s="1" t="n">
        <v>3428.28240527737</v>
      </c>
      <c r="AM78" s="1" t="n">
        <v>7424.06782093914</v>
      </c>
      <c r="AN78" s="1" t="n">
        <v>4244.95698267015</v>
      </c>
      <c r="AQ78" s="3" t="n">
        <f aca="false">AG78-AH78</f>
        <v>620.675048003583</v>
      </c>
    </row>
    <row r="79" customFormat="false" ht="15" hidden="false" customHeight="false" outlineLevel="0" collapsed="false">
      <c r="A79" s="5" t="n">
        <v>43525</v>
      </c>
      <c r="B79" s="1" t="n">
        <v>105.513195883333</v>
      </c>
      <c r="C79" s="1" t="n">
        <v>253.361140657333</v>
      </c>
      <c r="D79" s="17" t="n">
        <f aca="false">SUM(Data!C234:C236)</f>
        <v>758.69</v>
      </c>
      <c r="E79" s="17" t="n">
        <f aca="false">SUM(Data!D234:D236)</f>
        <v>9547.617</v>
      </c>
      <c r="F79" s="17" t="n">
        <f aca="false">SUM(Data!E234:E236)</f>
        <v>9311.537</v>
      </c>
      <c r="G79" s="17" t="n">
        <f aca="false">E79/F79</f>
        <v>1.02535349427275</v>
      </c>
      <c r="H79" s="17" t="n">
        <f aca="false">E79/O79</f>
        <v>0.377154673354281</v>
      </c>
      <c r="I79" s="1" t="n">
        <v>9969.672426798</v>
      </c>
      <c r="J79" s="1" t="n">
        <v>-1148.853835804</v>
      </c>
      <c r="K79" s="1" t="n">
        <v>5342.737003244</v>
      </c>
      <c r="L79" s="1" t="n">
        <v>5522.596525223</v>
      </c>
      <c r="M79" s="1" t="n">
        <v>-150.885765148</v>
      </c>
      <c r="N79" s="1" t="n">
        <v>55.3748823303333</v>
      </c>
      <c r="O79" s="1" t="n">
        <v>25314.858</v>
      </c>
      <c r="P79" s="1" t="n">
        <v>91.518083279</v>
      </c>
      <c r="Q79" s="3" t="n">
        <f aca="false">AVERAGE(Data!L234:L236)</f>
        <v>66.4669229724779</v>
      </c>
      <c r="R79" s="3" t="n">
        <f aca="false">AVERAGE(Data!M234:M236)</f>
        <v>115.383620997754</v>
      </c>
      <c r="S79" s="3" t="n">
        <f aca="false">Q79/R79</f>
        <v>0.576051630185637</v>
      </c>
      <c r="T79" s="3" t="n">
        <v>25195116.0350962</v>
      </c>
      <c r="U79" s="3" t="n">
        <f aca="false">AB79+AE79+AG79</f>
        <v>7022.58942456197</v>
      </c>
      <c r="V79" s="3" t="n">
        <f aca="false">AC79+AF79+AH79</f>
        <v>7306.4729073501</v>
      </c>
      <c r="W79" s="3" t="n">
        <f aca="false">U79/V79</f>
        <v>0.96114630323168</v>
      </c>
      <c r="X79" s="1" t="n">
        <v>5362.72087320857</v>
      </c>
      <c r="Y79" s="1" t="n">
        <v>5347.88115715122</v>
      </c>
      <c r="Z79" s="1" t="n">
        <v>763.806099825312</v>
      </c>
      <c r="AA79" s="1" t="n">
        <v>950.391326255272</v>
      </c>
      <c r="AB79" s="3" t="n">
        <f aca="false">X79+Z79</f>
        <v>6126.52697303388</v>
      </c>
      <c r="AC79" s="3" t="n">
        <f aca="false">Y79+AA79</f>
        <v>6298.27248340649</v>
      </c>
      <c r="AD79" s="3" t="n">
        <f aca="false">AB79/AC79</f>
        <v>0.972731330563247</v>
      </c>
      <c r="AE79" s="1" t="n">
        <v>54.0226588499854</v>
      </c>
      <c r="AF79" s="1" t="n">
        <v>807.648322013604</v>
      </c>
      <c r="AG79" s="1" t="n">
        <v>842.0397926781</v>
      </c>
      <c r="AH79" s="1" t="n">
        <v>200.55210193</v>
      </c>
      <c r="AI79" s="1" t="n">
        <v>19.7</v>
      </c>
      <c r="AJ79" s="1" t="n">
        <v>2.8</v>
      </c>
      <c r="AK79" s="1" t="n">
        <v>9487.26719792558</v>
      </c>
      <c r="AL79" s="1" t="n">
        <v>2866.50506005789</v>
      </c>
      <c r="AM79" s="1" t="n">
        <v>6620.76213786768</v>
      </c>
      <c r="AN79" s="1" t="n">
        <v>3489.73605566801</v>
      </c>
      <c r="AQ79" s="3" t="n">
        <f aca="false">AG79-AH79</f>
        <v>641.4876907481</v>
      </c>
    </row>
    <row r="80" customFormat="false" ht="15" hidden="false" customHeight="false" outlineLevel="0" collapsed="false">
      <c r="A80" s="5" t="n">
        <v>43617</v>
      </c>
      <c r="B80" s="1" t="n">
        <v>105.311319207667</v>
      </c>
      <c r="C80" s="1" t="n">
        <v>255.331891204667</v>
      </c>
      <c r="D80" s="17" t="n">
        <f aca="false">SUM(Data!C237:C239)</f>
        <v>767.783</v>
      </c>
      <c r="E80" s="17" t="n">
        <f aca="false">SUM(Data!D237:D239)</f>
        <v>10569.675</v>
      </c>
      <c r="F80" s="17" t="n">
        <f aca="false">SUM(Data!E237:E239)</f>
        <v>10721.285</v>
      </c>
      <c r="G80" s="17" t="n">
        <f aca="false">E80/F80</f>
        <v>0.985858971196083</v>
      </c>
      <c r="H80" s="17" t="n">
        <f aca="false">E80/O80</f>
        <v>0.398780840062763</v>
      </c>
      <c r="I80" s="1" t="n">
        <v>10005.114220687</v>
      </c>
      <c r="J80" s="1" t="n">
        <v>-781.219957314</v>
      </c>
      <c r="K80" s="1" t="n">
        <v>5623.16819774</v>
      </c>
      <c r="L80" s="1" t="n">
        <v>5631.244541333</v>
      </c>
      <c r="M80" s="1" t="n">
        <v>24.575602035</v>
      </c>
      <c r="N80" s="1" t="n">
        <v>58.7650871146667</v>
      </c>
      <c r="O80" s="1" t="n">
        <v>26504.972</v>
      </c>
      <c r="P80" s="1" t="n">
        <v>91.3429832236667</v>
      </c>
      <c r="Q80" s="3" t="n">
        <f aca="false">AVERAGE(Data!L237:L239)</f>
        <v>66.4263016996155</v>
      </c>
      <c r="R80" s="3" t="n">
        <f aca="false">AVERAGE(Data!M237:M239)</f>
        <v>116.76650895691</v>
      </c>
      <c r="S80" s="3" t="n">
        <f aca="false">Q80/R80</f>
        <v>0.568881456618084</v>
      </c>
      <c r="T80" s="3" t="n">
        <v>26520565.9191281</v>
      </c>
      <c r="U80" s="3" t="n">
        <f aca="false">AB80+AE80+AG80</f>
        <v>7658.3967743987</v>
      </c>
      <c r="V80" s="3" t="n">
        <f aca="false">AC80+AF80+AH80</f>
        <v>7633.6812523307</v>
      </c>
      <c r="W80" s="3" t="n">
        <f aca="false">U80/V80</f>
        <v>1.00323769374841</v>
      </c>
      <c r="X80" s="1" t="n">
        <v>5877.40573856539</v>
      </c>
      <c r="Y80" s="1" t="n">
        <v>5662.97116120272</v>
      </c>
      <c r="Z80" s="1" t="n">
        <v>810.660106237658</v>
      </c>
      <c r="AA80" s="1" t="n">
        <v>999.617271264845</v>
      </c>
      <c r="AB80" s="3" t="n">
        <f aca="false">X80+Z80</f>
        <v>6688.06584480305</v>
      </c>
      <c r="AC80" s="3" t="n">
        <f aca="false">Y80+AA80</f>
        <v>6662.58843246757</v>
      </c>
      <c r="AD80" s="3" t="n">
        <f aca="false">AB80/AC80</f>
        <v>1.00382395109554</v>
      </c>
      <c r="AE80" s="1" t="n">
        <v>50.0749354156491</v>
      </c>
      <c r="AF80" s="1" t="n">
        <v>721.289196533133</v>
      </c>
      <c r="AG80" s="1" t="n">
        <v>920.25599418</v>
      </c>
      <c r="AH80" s="1" t="n">
        <v>249.80362333</v>
      </c>
      <c r="AI80" s="1" t="n">
        <v>24.423</v>
      </c>
      <c r="AJ80" s="1" t="n">
        <v>2.8</v>
      </c>
      <c r="AK80" s="1" t="n">
        <v>10609.7193775557</v>
      </c>
      <c r="AL80" s="1" t="n">
        <v>3164.82422514597</v>
      </c>
      <c r="AM80" s="1" t="n">
        <v>7444.89515240971</v>
      </c>
      <c r="AN80" s="1" t="n">
        <v>4230.77361643402</v>
      </c>
      <c r="AQ80" s="3" t="n">
        <f aca="false">AG80-AH80</f>
        <v>670.45237085</v>
      </c>
    </row>
    <row r="81" customFormat="false" ht="15" hidden="false" customHeight="false" outlineLevel="0" collapsed="false">
      <c r="A81" s="5" t="n">
        <v>43709</v>
      </c>
      <c r="B81" s="1" t="n">
        <v>105.475825741333</v>
      </c>
      <c r="C81" s="1" t="n">
        <v>256.153583151</v>
      </c>
      <c r="D81" s="17" t="n">
        <f aca="false">SUM(Data!C240:C242)</f>
        <v>769.888</v>
      </c>
      <c r="E81" s="17" t="n">
        <f aca="false">SUM(Data!D240:D242)</f>
        <v>10542.904</v>
      </c>
      <c r="F81" s="17" t="n">
        <f aca="false">SUM(Data!E240:E242)</f>
        <v>9741.384</v>
      </c>
      <c r="G81" s="17" t="n">
        <f aca="false">E81/F81</f>
        <v>1.08227988959269</v>
      </c>
      <c r="H81" s="17" t="n">
        <f aca="false">E81/O81</f>
        <v>0.39662469797674</v>
      </c>
      <c r="I81" s="1" t="n">
        <v>9552.206457315</v>
      </c>
      <c r="J81" s="1" t="n">
        <v>-835.119819525</v>
      </c>
      <c r="K81" s="1" t="n">
        <v>5705.648180066</v>
      </c>
      <c r="L81" s="1" t="n">
        <v>5286.706475301</v>
      </c>
      <c r="M81" s="1" t="n">
        <v>387.906030583</v>
      </c>
      <c r="N81" s="1" t="n">
        <v>55.636823505</v>
      </c>
      <c r="O81" s="1" t="n">
        <v>26581.562</v>
      </c>
      <c r="P81" s="1" t="n">
        <v>91.4856698573333</v>
      </c>
      <c r="Q81" s="3" t="n">
        <f aca="false">AVERAGE(Data!L240:L242)</f>
        <v>66.4213802492508</v>
      </c>
      <c r="R81" s="3" t="n">
        <f aca="false">AVERAGE(Data!M240:M242)</f>
        <v>117.086643033016</v>
      </c>
      <c r="S81" s="3" t="n">
        <f aca="false">Q81/R81</f>
        <v>0.567284008907159</v>
      </c>
      <c r="T81" s="3" t="n">
        <v>26709303.1136837</v>
      </c>
      <c r="U81" s="3" t="n">
        <f aca="false">AB81+AE81+AG81</f>
        <v>7641.73296750932</v>
      </c>
      <c r="V81" s="3" t="n">
        <f aca="false">AC81+AF81+AH81</f>
        <v>7650.47354105287</v>
      </c>
      <c r="W81" s="3" t="n">
        <f aca="false">U81/V81</f>
        <v>0.998857512087762</v>
      </c>
      <c r="X81" s="1" t="n">
        <v>5801.23451825601</v>
      </c>
      <c r="Y81" s="1" t="n">
        <v>5464.1733156326</v>
      </c>
      <c r="Z81" s="1" t="n">
        <v>838.750964236006</v>
      </c>
      <c r="AA81" s="1" t="n">
        <v>1093.99012196802</v>
      </c>
      <c r="AB81" s="3" t="n">
        <f aca="false">X81+Z81</f>
        <v>6639.98548249202</v>
      </c>
      <c r="AC81" s="3" t="n">
        <f aca="false">Y81+AA81</f>
        <v>6558.16343760062</v>
      </c>
      <c r="AD81" s="3" t="n">
        <f aca="false">AB81/AC81</f>
        <v>1.01247636562735</v>
      </c>
      <c r="AE81" s="1" t="n">
        <v>46.8102067273034</v>
      </c>
      <c r="AF81" s="1" t="n">
        <v>830.115033752248</v>
      </c>
      <c r="AG81" s="1" t="n">
        <v>954.93727829</v>
      </c>
      <c r="AH81" s="1" t="n">
        <v>262.1950697</v>
      </c>
      <c r="AI81" s="1" t="n">
        <v>22.85</v>
      </c>
      <c r="AJ81" s="1" t="n">
        <v>2.8</v>
      </c>
      <c r="AK81" s="1" t="n">
        <v>9850.46145749983</v>
      </c>
      <c r="AL81" s="1" t="n">
        <v>3348.76015151263</v>
      </c>
      <c r="AM81" s="1" t="n">
        <v>6501.7013059872</v>
      </c>
      <c r="AN81" s="1" t="n">
        <v>3494.13895546752</v>
      </c>
      <c r="AQ81" s="3" t="n">
        <f aca="false">AG81-AH81</f>
        <v>692.74220859</v>
      </c>
    </row>
    <row r="82" customFormat="false" ht="15" hidden="false" customHeight="false" outlineLevel="0" collapsed="false">
      <c r="A82" s="5" t="n">
        <v>43800</v>
      </c>
      <c r="B82" s="1" t="n">
        <v>105.620584758</v>
      </c>
      <c r="C82" s="1" t="n">
        <v>257.776675762</v>
      </c>
      <c r="D82" s="17" t="n">
        <f aca="false">SUM(Data!C243:C245)</f>
        <v>771.528</v>
      </c>
      <c r="E82" s="17" t="n">
        <f aca="false">SUM(Data!D243:D245)</f>
        <v>12182.21</v>
      </c>
      <c r="F82" s="17" t="n">
        <f aca="false">SUM(Data!E243:E245)</f>
        <v>9616.38</v>
      </c>
      <c r="G82" s="17" t="n">
        <f aca="false">E82/F82</f>
        <v>1.26681869892829</v>
      </c>
      <c r="H82" s="17" t="n">
        <f aca="false">E82/O82</f>
        <v>0.417278455574312</v>
      </c>
      <c r="I82" s="1" t="n">
        <v>10065.055300412</v>
      </c>
      <c r="J82" s="1" t="n">
        <v>-708.5158721</v>
      </c>
      <c r="K82" s="1" t="n">
        <v>5653.639466557</v>
      </c>
      <c r="L82" s="1" t="n">
        <v>5058.669469858</v>
      </c>
      <c r="M82" s="1" t="n">
        <v>580.070401209</v>
      </c>
      <c r="N82" s="1" t="n">
        <v>58.5903140756667</v>
      </c>
      <c r="O82" s="1" t="n">
        <v>29194.438</v>
      </c>
      <c r="P82" s="1" t="n">
        <v>91.611228254</v>
      </c>
      <c r="Q82" s="3" t="n">
        <f aca="false">AVERAGE(Data!L243:L245)</f>
        <v>66.4238359031288</v>
      </c>
      <c r="R82" s="3" t="n">
        <f aca="false">AVERAGE(Data!M243:M245)</f>
        <v>117.336058655254</v>
      </c>
      <c r="S82" s="3" t="n">
        <f aca="false">Q82/R82</f>
        <v>0.56609908892789</v>
      </c>
      <c r="T82" s="3" t="n">
        <v>29231750.9320921</v>
      </c>
      <c r="U82" s="3" t="n">
        <f aca="false">AB82+AE82+AG82</f>
        <v>7579.03295095202</v>
      </c>
      <c r="V82" s="3" t="n">
        <f aca="false">AC82+AF82+AH82</f>
        <v>7467.02942534418</v>
      </c>
      <c r="W82" s="3" t="n">
        <f aca="false">U82/V82</f>
        <v>1.01499974343581</v>
      </c>
      <c r="X82" s="1" t="n">
        <v>5732.48830581407</v>
      </c>
      <c r="Y82" s="1" t="n">
        <v>5271.59441439261</v>
      </c>
      <c r="Z82" s="1" t="n">
        <v>838.724815465786</v>
      </c>
      <c r="AA82" s="1" t="n">
        <v>1098.86351007679</v>
      </c>
      <c r="AB82" s="3" t="n">
        <f aca="false">X82+Z82</f>
        <v>6571.21312127986</v>
      </c>
      <c r="AC82" s="3" t="n">
        <f aca="false">Y82+AA82</f>
        <v>6370.4579244694</v>
      </c>
      <c r="AD82" s="3" t="n">
        <f aca="false">AB82/AC82</f>
        <v>1.03151346405403</v>
      </c>
      <c r="AE82" s="1" t="n">
        <v>44.1329770891413</v>
      </c>
      <c r="AF82" s="1" t="n">
        <v>866.932333001583</v>
      </c>
      <c r="AG82" s="1" t="n">
        <v>963.686852583017</v>
      </c>
      <c r="AH82" s="1" t="n">
        <v>229.6391678732</v>
      </c>
      <c r="AI82" s="1" t="n">
        <v>27.8221238763534</v>
      </c>
      <c r="AJ82" s="1" t="n">
        <v>2.8</v>
      </c>
      <c r="AK82" s="1" t="n">
        <v>9110.06970094391</v>
      </c>
      <c r="AL82" s="1" t="n">
        <v>2871.46474789842</v>
      </c>
      <c r="AM82" s="1" t="n">
        <v>6238.60495304549</v>
      </c>
      <c r="AN82" s="1" t="n">
        <v>3270.99008861001</v>
      </c>
      <c r="AQ82" s="3" t="n">
        <f aca="false">AG82-AH82</f>
        <v>734.047684709817</v>
      </c>
    </row>
    <row r="83" customFormat="false" ht="15" hidden="false" customHeight="false" outlineLevel="0" collapsed="false">
      <c r="A83" s="5" t="n">
        <v>43891</v>
      </c>
      <c r="B83" s="1" t="n">
        <v>105.418347127667</v>
      </c>
      <c r="C83" s="1" t="n">
        <v>258.768573121</v>
      </c>
      <c r="D83" s="17" t="n">
        <f aca="false">SUM(Data!C246:C248)</f>
        <v>774.764</v>
      </c>
      <c r="E83" s="17" t="n">
        <f aca="false">SUM(Data!D246:D248)</f>
        <v>9428.373</v>
      </c>
      <c r="F83" s="17" t="n">
        <f aca="false">SUM(Data!E246:E248)</f>
        <v>10089.973</v>
      </c>
      <c r="G83" s="17" t="n">
        <f aca="false">E83/F83</f>
        <v>0.93442995338045</v>
      </c>
      <c r="H83" s="17"/>
      <c r="I83" s="1" t="n">
        <v>10447.035809066</v>
      </c>
      <c r="J83" s="1" t="n">
        <v>-266.492256272</v>
      </c>
      <c r="K83" s="1" t="n">
        <v>5574.964303529</v>
      </c>
      <c r="L83" s="1" t="n">
        <v>4847.93197036</v>
      </c>
      <c r="M83" s="1" t="n">
        <v>619.11140986</v>
      </c>
      <c r="N83" s="1" t="n">
        <v>46.1676113583333</v>
      </c>
      <c r="P83" s="1" t="n">
        <v>91.4358151206667</v>
      </c>
      <c r="Q83" s="3" t="n">
        <f aca="false">AVERAGE(Data!L246:L248)</f>
        <v>66.3893706296357</v>
      </c>
      <c r="R83" s="3" t="n">
        <f aca="false">AVERAGE(Data!M246:M248)</f>
        <v>117.828198261086</v>
      </c>
      <c r="S83" s="3" t="n">
        <f aca="false">Q83/R83</f>
        <v>0.56344212683732</v>
      </c>
      <c r="T83" s="3" t="n">
        <v>25297756.1247643</v>
      </c>
      <c r="U83" s="3" t="n">
        <f aca="false">AB83+AE83+AG83</f>
        <v>7143.48489008947</v>
      </c>
      <c r="V83" s="3" t="n">
        <f aca="false">AC83+AF83+AH83</f>
        <v>6791.0466385707</v>
      </c>
      <c r="W83" s="3" t="n">
        <f aca="false">U83/V83</f>
        <v>1.05189748654015</v>
      </c>
      <c r="X83" s="1" t="n">
        <v>5537.25125111854</v>
      </c>
      <c r="Y83" s="1" t="n">
        <v>4754.55281155438</v>
      </c>
      <c r="Z83" s="1" t="n">
        <v>758.494898401692</v>
      </c>
      <c r="AA83" s="1" t="n">
        <v>968.490193844079</v>
      </c>
      <c r="AB83" s="3" t="n">
        <f aca="false">X83+Z83</f>
        <v>6295.74614952023</v>
      </c>
      <c r="AC83" s="3" t="n">
        <f aca="false">Y83+AA83</f>
        <v>5723.04300539846</v>
      </c>
      <c r="AD83" s="3" t="n">
        <f aca="false">AB83/AC83</f>
        <v>1.10006969082384</v>
      </c>
      <c r="AE83" s="1" t="n">
        <v>28.7377701992357</v>
      </c>
      <c r="AF83" s="1" t="n">
        <v>885.027177262237</v>
      </c>
      <c r="AG83" s="1" t="n">
        <v>819.00097037</v>
      </c>
      <c r="AH83" s="1" t="n">
        <v>182.97645591</v>
      </c>
      <c r="AI83" s="1" t="n">
        <v>20.21832</v>
      </c>
      <c r="AJ83" s="1" t="n">
        <v>2.8</v>
      </c>
      <c r="AK83" s="1" t="n">
        <v>9742.07532667617</v>
      </c>
      <c r="AL83" s="1" t="n">
        <v>2749.1028287779</v>
      </c>
      <c r="AM83" s="1" t="n">
        <v>6992.97249789828</v>
      </c>
      <c r="AN83" s="1" t="n">
        <v>3517.29085180771</v>
      </c>
      <c r="AQ83" s="3" t="n">
        <f aca="false">AG83-AH83</f>
        <v>636.02451446</v>
      </c>
    </row>
    <row r="84" customFormat="false" ht="15" hidden="false" customHeight="false" outlineLevel="0" collapsed="false">
      <c r="A84" s="5" t="n">
        <v>43983</v>
      </c>
      <c r="B84" s="1" t="n">
        <v>106.019622970667</v>
      </c>
      <c r="C84" s="1" t="n">
        <v>256.221717813</v>
      </c>
      <c r="D84" s="17" t="n">
        <f aca="false">SUM(Data!C249:C251)</f>
        <v>770.58</v>
      </c>
      <c r="E84" s="17" t="n">
        <f aca="false">SUM(Data!D249:D251)</f>
        <v>8567.676</v>
      </c>
      <c r="F84" s="17" t="n">
        <f aca="false">SUM(Data!E249:E251)</f>
        <v>6470.296</v>
      </c>
      <c r="G84" s="17" t="n">
        <f aca="false">E84/F84</f>
        <v>1.32415518548147</v>
      </c>
      <c r="H84" s="17"/>
      <c r="I84" s="1" t="n">
        <v>6032.050784411</v>
      </c>
      <c r="J84" s="1" t="n">
        <v>-3026.322906185</v>
      </c>
      <c r="K84" s="1" t="n">
        <v>4087.86911864</v>
      </c>
      <c r="L84" s="1" t="n">
        <v>3522.929750017</v>
      </c>
      <c r="M84" s="1" t="n">
        <v>523.887238336</v>
      </c>
      <c r="N84" s="1" t="n">
        <v>26.5644672043333</v>
      </c>
      <c r="P84" s="1" t="n">
        <v>91.9573386333333</v>
      </c>
      <c r="Q84" s="3" t="n">
        <f aca="false">AVERAGE(Data!L249:L251)</f>
        <v>66.8540342713744</v>
      </c>
      <c r="R84" s="3" t="n">
        <f aca="false">AVERAGE(Data!M249:M251)</f>
        <v>117.191884258985</v>
      </c>
      <c r="S84" s="3" t="n">
        <f aca="false">Q84/R84</f>
        <v>0.570466416630286</v>
      </c>
      <c r="T84" s="3" t="n">
        <v>21335355.0671937</v>
      </c>
      <c r="U84" s="3" t="n">
        <f aca="false">AB84+AE84+AG84</f>
        <v>5308.02303729614</v>
      </c>
      <c r="V84" s="3" t="n">
        <f aca="false">AC84+AF84+AH84</f>
        <v>5028.79190307792</v>
      </c>
      <c r="W84" s="3" t="n">
        <f aca="false">U84/V84</f>
        <v>1.0555264842133</v>
      </c>
      <c r="X84" s="1" t="n">
        <v>4224.5612446594</v>
      </c>
      <c r="Y84" s="1" t="n">
        <v>3528.92262938773</v>
      </c>
      <c r="Z84" s="1" t="n">
        <v>247.730691764268</v>
      </c>
      <c r="AA84" s="1" t="n">
        <v>478.335629412824</v>
      </c>
      <c r="AB84" s="3" t="n">
        <f aca="false">X84+Z84</f>
        <v>4472.29193642367</v>
      </c>
      <c r="AC84" s="3" t="n">
        <f aca="false">Y84+AA84</f>
        <v>4007.25825880055</v>
      </c>
      <c r="AD84" s="3" t="n">
        <f aca="false">AB84/AC84</f>
        <v>1.11604784308619</v>
      </c>
      <c r="AE84" s="1" t="n">
        <v>18.4039459024693</v>
      </c>
      <c r="AF84" s="1" t="n">
        <v>889.289930877362</v>
      </c>
      <c r="AG84" s="1" t="n">
        <v>817.32715497</v>
      </c>
      <c r="AH84" s="1" t="n">
        <v>132.2437134</v>
      </c>
      <c r="AI84" s="1" t="n">
        <v>36.42213608</v>
      </c>
      <c r="AJ84" s="1" t="n">
        <v>2.8</v>
      </c>
      <c r="AK84" s="1" t="n">
        <v>6224.97153548335</v>
      </c>
      <c r="AL84" s="1" t="n">
        <v>990.342330332632</v>
      </c>
      <c r="AM84" s="1" t="n">
        <v>5234.62920515072</v>
      </c>
      <c r="AN84" s="1" t="n">
        <v>2831.79765869001</v>
      </c>
      <c r="AQ84" s="3" t="n">
        <f aca="false">AG84-AH84</f>
        <v>685.08344157</v>
      </c>
    </row>
    <row r="85" customFormat="false" ht="15" hidden="false" customHeight="false" outlineLevel="0" collapsed="false">
      <c r="A85" s="5" t="n">
        <v>44075</v>
      </c>
      <c r="B85" s="1" t="n">
        <v>104.660501536</v>
      </c>
      <c r="C85" s="1" t="n">
        <v>259.226591760333</v>
      </c>
      <c r="D85" s="17" t="n">
        <f aca="false">SUM(Data!C252:C254)</f>
        <v>779.299</v>
      </c>
      <c r="E85" s="17" t="n">
        <f aca="false">SUM(Data!D252:D254)</f>
        <v>9025.835</v>
      </c>
      <c r="F85" s="17" t="n">
        <f aca="false">SUM(Data!E252:E254)</f>
        <v>7629.595</v>
      </c>
      <c r="G85" s="17" t="n">
        <f aca="false">E85/F85</f>
        <v>1.18300316071823</v>
      </c>
      <c r="H85" s="17"/>
      <c r="I85" s="1" t="n">
        <v>7532.259122015</v>
      </c>
      <c r="J85" s="1" t="n">
        <v>-1406.857096773</v>
      </c>
      <c r="K85" s="1" t="n">
        <v>5186.645103936</v>
      </c>
      <c r="L85" s="1" t="n">
        <v>3942.447945937</v>
      </c>
      <c r="M85" s="1" t="n">
        <v>1279.831543372</v>
      </c>
      <c r="N85" s="1" t="n">
        <v>40.39370778</v>
      </c>
      <c r="P85" s="1" t="n">
        <v>90.778489036</v>
      </c>
      <c r="Q85" s="3" t="n">
        <f aca="false">AVERAGE(Data!L252:L254)</f>
        <v>65.9346442687363</v>
      </c>
      <c r="R85" s="3" t="n">
        <f aca="false">AVERAGE(Data!M252:M254)</f>
        <v>118.517893289655</v>
      </c>
      <c r="S85" s="3" t="n">
        <f aca="false">Q85/R85</f>
        <v>0.556326495844755</v>
      </c>
      <c r="T85" s="3" t="n">
        <v>23764364.5151046</v>
      </c>
      <c r="U85" s="3" t="n">
        <f aca="false">AB85+AE85+AG85</f>
        <v>6629.90708950739</v>
      </c>
      <c r="V85" s="3" t="n">
        <f aca="false">AC85+AF85+AH85</f>
        <v>5983.81709116171</v>
      </c>
      <c r="W85" s="3" t="n">
        <f aca="false">U85/V85</f>
        <v>1.10797288561844</v>
      </c>
      <c r="X85" s="1" t="n">
        <v>5187.72159047235</v>
      </c>
      <c r="Y85" s="1" t="n">
        <v>4081.10732635064</v>
      </c>
      <c r="Z85" s="1" t="n">
        <v>333.388037699739</v>
      </c>
      <c r="AA85" s="1" t="n">
        <v>537.857426671364</v>
      </c>
      <c r="AB85" s="3" t="n">
        <f aca="false">X85+Z85</f>
        <v>5521.10962817209</v>
      </c>
      <c r="AC85" s="3" t="n">
        <f aca="false">Y85+AA85</f>
        <v>4618.964753022</v>
      </c>
      <c r="AD85" s="3" t="n">
        <f aca="false">AB85/AC85</f>
        <v>1.19531321917099</v>
      </c>
      <c r="AE85" s="1" t="n">
        <v>16.7604567653023</v>
      </c>
      <c r="AF85" s="1" t="n">
        <v>1125.38909269971</v>
      </c>
      <c r="AG85" s="1" t="n">
        <v>1092.03700457</v>
      </c>
      <c r="AH85" s="1" t="n">
        <v>239.46324544</v>
      </c>
      <c r="AI85" s="1" t="n">
        <v>222.17672757</v>
      </c>
      <c r="AJ85" s="1" t="n">
        <v>2.8</v>
      </c>
      <c r="AK85" s="1" t="n">
        <v>7653.51110216627</v>
      </c>
      <c r="AL85" s="1" t="n">
        <v>1824.29085175105</v>
      </c>
      <c r="AM85" s="1" t="n">
        <v>5829.22025041521</v>
      </c>
      <c r="AN85" s="1" t="n">
        <v>3063.8842453405</v>
      </c>
      <c r="AQ85" s="3" t="n">
        <f aca="false">AG85-AH85</f>
        <v>852.57375913</v>
      </c>
    </row>
    <row r="86" customFormat="false" ht="15" hidden="false" customHeight="false" outlineLevel="0" collapsed="false">
      <c r="A86" s="5" t="n">
        <v>44166</v>
      </c>
      <c r="B86" s="1" t="n">
        <v>104.383478452667</v>
      </c>
      <c r="C86" s="1" t="n">
        <v>261.037142699</v>
      </c>
      <c r="D86" s="17" t="n">
        <f aca="false">SUM(Data!C255:C257)</f>
        <v>781.091</v>
      </c>
      <c r="E86" s="17" t="n">
        <f aca="false">SUM(Data!D255:D257)</f>
        <v>11601.031</v>
      </c>
      <c r="F86" s="17" t="n">
        <f aca="false">SUM(Data!E255:E257)</f>
        <v>8902.201</v>
      </c>
      <c r="G86" s="17" t="n">
        <f aca="false">E86/F86</f>
        <v>1.30316435227648</v>
      </c>
      <c r="H86" s="17"/>
      <c r="I86" s="1" t="n">
        <v>9114.388786549</v>
      </c>
      <c r="J86" s="1" t="n">
        <v>-840.982433397</v>
      </c>
      <c r="K86" s="1" t="n">
        <v>5574.65469267</v>
      </c>
      <c r="L86" s="1" t="n">
        <v>4567.388813097</v>
      </c>
      <c r="M86" s="1" t="n">
        <v>1033.576181971</v>
      </c>
      <c r="N86" s="1" t="n">
        <v>44.1885841286667</v>
      </c>
      <c r="P86" s="1" t="n">
        <v>90.5382098806667</v>
      </c>
      <c r="Q86" s="3" t="n">
        <f aca="false">AVERAGE(Data!L255:L257)</f>
        <v>65.6598774423472</v>
      </c>
      <c r="R86" s="3" t="n">
        <f aca="false">AVERAGE(Data!M255:M257)</f>
        <v>118.79042548176</v>
      </c>
      <c r="S86" s="3" t="n">
        <f aca="false">Q86/R86</f>
        <v>0.552737118131033</v>
      </c>
      <c r="T86" s="3" t="n">
        <v>27306291.4746403</v>
      </c>
      <c r="U86" s="3" t="n">
        <f aca="false">AB86+AE86+AG86</f>
        <v>7218.40477993589</v>
      </c>
      <c r="V86" s="3" t="n">
        <f aca="false">AC86+AF86+AH86</f>
        <v>6288.20694134539</v>
      </c>
      <c r="W86" s="3" t="n">
        <f aca="false">U86/V86</f>
        <v>1.14792735787278</v>
      </c>
      <c r="X86" s="1" t="n">
        <v>5619.99469431472</v>
      </c>
      <c r="Y86" s="1" t="n">
        <v>4727.27146091204</v>
      </c>
      <c r="Z86" s="1" t="n">
        <v>464.201560205372</v>
      </c>
      <c r="AA86" s="1" t="n">
        <v>797.385759572086</v>
      </c>
      <c r="AB86" s="3" t="n">
        <f aca="false">X86+Z86</f>
        <v>6084.19625452009</v>
      </c>
      <c r="AC86" s="3" t="n">
        <f aca="false">Y86+AA86</f>
        <v>5524.65722048413</v>
      </c>
      <c r="AD86" s="3" t="n">
        <f aca="false">AB86/AC86</f>
        <v>1.10128031689664</v>
      </c>
      <c r="AE86" s="1" t="n">
        <v>22.0315044079243</v>
      </c>
      <c r="AF86" s="1" t="n">
        <v>470.630421521265</v>
      </c>
      <c r="AG86" s="1" t="n">
        <v>1112.17702100787</v>
      </c>
      <c r="AH86" s="1" t="n">
        <v>292.91929934</v>
      </c>
      <c r="AI86" s="1" t="n">
        <v>38.4922751151169</v>
      </c>
      <c r="AJ86" s="1" t="n">
        <v>2.8</v>
      </c>
      <c r="AK86" s="1" t="n">
        <v>7910.0998837676</v>
      </c>
      <c r="AL86" s="1" t="n">
        <v>2357.79338304687</v>
      </c>
      <c r="AM86" s="1" t="n">
        <v>5552.30650072073</v>
      </c>
      <c r="AN86" s="1" t="n">
        <v>2953.02578236829</v>
      </c>
      <c r="AQ86" s="3" t="n">
        <f aca="false">AG86-AH86</f>
        <v>819.25772166787</v>
      </c>
    </row>
    <row r="87" customFormat="false" ht="15" hidden="false" customHeight="false" outlineLevel="0" collapsed="false">
      <c r="A87" s="5" t="n">
        <v>44256</v>
      </c>
      <c r="B87" s="1" t="n">
        <v>104.519717349</v>
      </c>
      <c r="C87" s="1" t="n">
        <v>263.721222952</v>
      </c>
      <c r="D87" s="17" t="n">
        <f aca="false">SUM(Data!C258:C260)</f>
        <v>789.473</v>
      </c>
      <c r="E87" s="17" t="n">
        <f aca="false">SUM(Data!D258:D260)</f>
        <v>8670.47163325301</v>
      </c>
      <c r="F87" s="17" t="n">
        <f aca="false">SUM(Data!E258:E260)</f>
        <v>5411.218</v>
      </c>
      <c r="G87" s="17" t="n">
        <f aca="false">E87/F87</f>
        <v>1.60231423558486</v>
      </c>
      <c r="H87" s="17"/>
      <c r="I87" s="1" t="n">
        <v>6078.532227364</v>
      </c>
      <c r="J87" s="1" t="n">
        <v>-489.627311904</v>
      </c>
      <c r="K87" s="1" t="n">
        <v>5963.730473677</v>
      </c>
      <c r="L87" s="1" t="n">
        <v>5307.191979216</v>
      </c>
      <c r="M87" s="1" t="n">
        <v>684.437079363</v>
      </c>
      <c r="N87" s="1" t="n">
        <v>58.1238177976667</v>
      </c>
      <c r="P87" s="1" t="n">
        <v>90.6563782523333</v>
      </c>
      <c r="Q87" s="3" t="n">
        <f aca="false">AVERAGE(Data!L258:L260)</f>
        <v>65.79710221261</v>
      </c>
      <c r="R87" s="3" t="n">
        <f aca="false">AVERAGE(Data!M258:M260)</f>
        <v>120.065182643714</v>
      </c>
      <c r="S87" s="3" t="n">
        <f aca="false">Q87/R87</f>
        <v>0.548011511445902</v>
      </c>
      <c r="T87" s="3" t="n">
        <v>23965888.5409734</v>
      </c>
      <c r="U87" s="3" t="n">
        <f aca="false">AB87+AE87+AG87</f>
        <v>7360.06091130716</v>
      </c>
      <c r="V87" s="3" t="n">
        <f aca="false">AC87+AF87+AH87</f>
        <v>6517.77507582226</v>
      </c>
      <c r="W87" s="3" t="n">
        <f aca="false">U87/V87</f>
        <v>1.12922904299189</v>
      </c>
      <c r="X87" s="1" t="n">
        <v>5918.87164866106</v>
      </c>
      <c r="Y87" s="1" t="n">
        <v>5067.75599032818</v>
      </c>
      <c r="Z87" s="1" t="n">
        <v>388.907630703125</v>
      </c>
      <c r="AA87" s="1" t="n">
        <v>790.769616613519</v>
      </c>
      <c r="AB87" s="3" t="n">
        <f aca="false">X87+Z87</f>
        <v>6307.77927936419</v>
      </c>
      <c r="AC87" s="3" t="n">
        <f aca="false">Y87+AA87</f>
        <v>5858.5256069417</v>
      </c>
      <c r="AD87" s="3" t="n">
        <f aca="false">AB87/AC87</f>
        <v>1.07668374307184</v>
      </c>
      <c r="AE87" s="1" t="n">
        <v>21.8188004629775</v>
      </c>
      <c r="AF87" s="1" t="n">
        <v>429.490219110562</v>
      </c>
      <c r="AG87" s="1" t="n">
        <v>1030.46283148</v>
      </c>
      <c r="AH87" s="1" t="n">
        <v>229.75924977</v>
      </c>
      <c r="AI87" s="1" t="n">
        <v>20.4138032</v>
      </c>
      <c r="AJ87" s="1" t="n">
        <v>2.8</v>
      </c>
      <c r="AK87" s="1" t="n">
        <v>8781.21079291155</v>
      </c>
      <c r="AL87" s="1" t="n">
        <v>2593.40833753158</v>
      </c>
      <c r="AM87" s="1" t="n">
        <v>6187.80245537998</v>
      </c>
      <c r="AN87" s="1" t="n">
        <v>3365.33557753998</v>
      </c>
      <c r="AQ87" s="3" t="n">
        <f aca="false">AG87-AH87</f>
        <v>800.70358171</v>
      </c>
    </row>
    <row r="88" customFormat="false" ht="15" hidden="false" customHeight="false" outlineLevel="0" collapsed="false">
      <c r="A88" s="5" t="n">
        <v>44348</v>
      </c>
      <c r="B88" s="1" t="n">
        <v>104.887210840667</v>
      </c>
      <c r="C88" s="1" t="n">
        <v>268.605537675333</v>
      </c>
      <c r="D88" s="17" t="n">
        <f aca="false">SUM(Data!C261:C263)</f>
        <v>807.945</v>
      </c>
      <c r="E88" s="17" t="n">
        <f aca="false">SUM(Data!D261:D263)</f>
        <v>9551.19227730768</v>
      </c>
      <c r="F88" s="17" t="n">
        <f aca="false">SUM(Data!E261:E263)</f>
        <v>0</v>
      </c>
      <c r="G88" s="17"/>
      <c r="H88" s="17"/>
      <c r="I88" s="1" t="n">
        <v>0</v>
      </c>
      <c r="J88" s="1" t="n">
        <v>0</v>
      </c>
      <c r="K88" s="1" t="n">
        <v>6538.528453472</v>
      </c>
      <c r="L88" s="1" t="n">
        <v>5556.388299462</v>
      </c>
      <c r="M88" s="1" t="n">
        <v>1003.130209656</v>
      </c>
      <c r="N88" s="1" t="n">
        <v>64.4992891943333</v>
      </c>
      <c r="P88" s="1" t="n">
        <v>90.9751279556667</v>
      </c>
      <c r="Q88" s="3" t="n">
        <f aca="false">AVERAGE(Data!L261:L263)</f>
        <v>66.1205836082738</v>
      </c>
      <c r="R88" s="3" t="n">
        <f aca="false">AVERAGE(Data!M261:M263)</f>
        <v>122.874454213223</v>
      </c>
      <c r="S88" s="3" t="n">
        <f aca="false">Q88/R88</f>
        <v>0.538114972975061</v>
      </c>
      <c r="T88" s="3" t="n">
        <v>26091223.1441677</v>
      </c>
      <c r="U88" s="3" t="n">
        <f aca="false">AB88+AE88+AG88</f>
        <v>8476.72597025142</v>
      </c>
      <c r="V88" s="3" t="n">
        <f aca="false">AC88+AF88+AH88</f>
        <v>7149.33572255888</v>
      </c>
      <c r="W88" s="3" t="n">
        <f aca="false">U88/V88</f>
        <v>1.18566623518659</v>
      </c>
      <c r="X88" s="1" t="n">
        <v>6788.83946884564</v>
      </c>
      <c r="Y88" s="1" t="n">
        <v>5555.57153468786</v>
      </c>
      <c r="Z88" s="1" t="n">
        <v>462.678015774794</v>
      </c>
      <c r="AA88" s="1" t="n">
        <v>907.557762722426</v>
      </c>
      <c r="AB88" s="3" t="n">
        <f aca="false">X88+Z88</f>
        <v>7251.51748462043</v>
      </c>
      <c r="AC88" s="3" t="n">
        <f aca="false">Y88+AA88</f>
        <v>6463.12929741029</v>
      </c>
      <c r="AD88" s="3" t="n">
        <f aca="false">AB88/AC88</f>
        <v>1.12198242537497</v>
      </c>
      <c r="AE88" s="1" t="n">
        <v>21.3472815209794</v>
      </c>
      <c r="AF88" s="1" t="n">
        <v>434.654002828598</v>
      </c>
      <c r="AG88" s="1" t="n">
        <v>1203.86120411</v>
      </c>
      <c r="AH88" s="1" t="n">
        <v>251.55242232</v>
      </c>
      <c r="AI88" s="1" t="n">
        <v>32.73043972</v>
      </c>
      <c r="AJ88" s="1" t="n">
        <v>2.8</v>
      </c>
      <c r="AK88" s="1" t="n">
        <v>9600.38575555261</v>
      </c>
      <c r="AL88" s="1" t="n">
        <v>3247.56744531263</v>
      </c>
      <c r="AM88" s="1" t="n">
        <v>6352.81831023998</v>
      </c>
      <c r="AN88" s="1" t="n">
        <v>3451.80717076998</v>
      </c>
      <c r="AQ88" s="3" t="n">
        <f aca="false">AG88-AH88</f>
        <v>952.30878179</v>
      </c>
    </row>
    <row r="89" customFormat="false" ht="15" hidden="false" customHeight="false" outlineLevel="0" collapsed="false">
      <c r="A89" s="5" t="n">
        <v>44440</v>
      </c>
      <c r="B89" s="1" t="n">
        <v>105.445452007</v>
      </c>
      <c r="C89" s="1" t="n">
        <v>273.014864289</v>
      </c>
      <c r="D89" s="17" t="n">
        <f aca="false">SUM(Data!C264:C266)</f>
        <v>820.88</v>
      </c>
      <c r="E89" s="17" t="n">
        <f aca="false">SUM(Data!D264:D266)</f>
        <v>9782.45497628618</v>
      </c>
      <c r="F89" s="17" t="n">
        <f aca="false">SUM(Data!E264:E266)</f>
        <v>0</v>
      </c>
      <c r="G89" s="17"/>
      <c r="H89" s="17"/>
      <c r="I89" s="1" t="n">
        <v>0</v>
      </c>
      <c r="J89" s="1" t="n">
        <v>0</v>
      </c>
      <c r="K89" s="1" t="n">
        <v>6876.157911736</v>
      </c>
      <c r="L89" s="1" t="n">
        <v>6298.111571673</v>
      </c>
      <c r="M89" s="1" t="n">
        <v>494.289140586</v>
      </c>
      <c r="N89" s="1" t="n">
        <v>70.231317499</v>
      </c>
      <c r="P89" s="1" t="n">
        <v>91.4593248506667</v>
      </c>
      <c r="Q89" s="3" t="n">
        <f aca="false">AVERAGE(Data!L264:L266)</f>
        <v>66.4637023935753</v>
      </c>
      <c r="R89" s="3" t="n">
        <f aca="false">AVERAGE(Data!M264:M266)</f>
        <v>124.841643892283</v>
      </c>
      <c r="S89" s="3" t="n">
        <f aca="false">Q89/R89</f>
        <v>0.532384069300803</v>
      </c>
      <c r="T89" s="3" t="n">
        <v>26970736.7061197</v>
      </c>
      <c r="U89" s="3" t="n">
        <f aca="false">AB89+AE89+AG89</f>
        <v>8760.70768932503</v>
      </c>
      <c r="V89" s="3" t="n">
        <f aca="false">AC89+AF89+AH89</f>
        <v>8394.03145449428</v>
      </c>
      <c r="W89" s="3" t="n">
        <f aca="false">U89/V89</f>
        <v>1.04368297126578</v>
      </c>
      <c r="X89" s="1" t="n">
        <v>6897.69757762257</v>
      </c>
      <c r="Y89" s="1" t="n">
        <v>6567.77220293531</v>
      </c>
      <c r="Z89" s="1" t="n">
        <v>570.137923968003</v>
      </c>
      <c r="AA89" s="1" t="n">
        <v>1106.34382746435</v>
      </c>
      <c r="AB89" s="3" t="n">
        <f aca="false">X89+Z89</f>
        <v>7467.83550159057</v>
      </c>
      <c r="AC89" s="3" t="n">
        <f aca="false">Y89+AA89</f>
        <v>7674.11603039966</v>
      </c>
      <c r="AD89" s="3" t="n">
        <f aca="false">AB89/AC89</f>
        <v>0.973119962222106</v>
      </c>
      <c r="AE89" s="1" t="n">
        <v>20.9324845544612</v>
      </c>
      <c r="AF89" s="1" t="n">
        <v>466.222315944619</v>
      </c>
      <c r="AG89" s="1" t="n">
        <v>1271.93970318</v>
      </c>
      <c r="AH89" s="1" t="n">
        <v>253.69310815</v>
      </c>
      <c r="AI89" s="1" t="n">
        <v>64.0143</v>
      </c>
      <c r="AJ89" s="1" t="n">
        <v>3.77053</v>
      </c>
      <c r="AK89" s="1" t="n">
        <v>9945.12677756733</v>
      </c>
      <c r="AL89" s="1" t="n">
        <v>3807.12190442211</v>
      </c>
      <c r="AM89" s="1" t="n">
        <v>6138.00487314522</v>
      </c>
      <c r="AN89" s="1" t="n">
        <v>3319.58608049522</v>
      </c>
      <c r="AQ89" s="3" t="n">
        <f aca="false">AG89-AH89</f>
        <v>1018.24659503</v>
      </c>
    </row>
    <row r="90" customFormat="false" ht="15" hidden="false" customHeight="false" outlineLevel="0" collapsed="false">
      <c r="A90" s="5" t="n">
        <v>44531</v>
      </c>
      <c r="B90" s="1" t="n">
        <v>106.182639648333</v>
      </c>
      <c r="C90" s="1" t="n">
        <v>278.558838804333</v>
      </c>
      <c r="D90" s="17" t="n">
        <f aca="false">SUM(Data!C267:C269)</f>
        <v>833.339</v>
      </c>
      <c r="E90" s="17" t="n">
        <f aca="false">SUM(Data!D267:D269)</f>
        <v>12240.5984617257</v>
      </c>
      <c r="F90" s="17" t="n">
        <f aca="false">SUM(Data!E267:E269)</f>
        <v>0</v>
      </c>
      <c r="G90" s="17"/>
      <c r="H90" s="17"/>
      <c r="I90" s="1" t="n">
        <v>0</v>
      </c>
      <c r="J90" s="1" t="n">
        <v>0</v>
      </c>
      <c r="K90" s="1" t="n">
        <v>7312.747330815</v>
      </c>
      <c r="L90" s="1" t="n">
        <v>6573.787740818</v>
      </c>
      <c r="M90" s="1" t="n">
        <v>724.300087061</v>
      </c>
      <c r="N90" s="1" t="n">
        <v>79.030566858</v>
      </c>
      <c r="P90" s="1" t="n">
        <v>92.098733024</v>
      </c>
      <c r="Q90" s="3" t="n">
        <f aca="false">AVERAGE(Data!L267:L269)</f>
        <v>66.8094386057541</v>
      </c>
      <c r="R90" s="3" t="n">
        <f aca="false">AVERAGE(Data!M267:M269)</f>
        <v>126.736442207815</v>
      </c>
      <c r="S90" s="3" t="n">
        <f aca="false">Q90/R90</f>
        <v>0.527152549352805</v>
      </c>
      <c r="T90" s="3" t="n">
        <v>30268882.1808416</v>
      </c>
      <c r="U90" s="3" t="n">
        <f aca="false">AB90+AE90+AG90</f>
        <v>9348.7674264198</v>
      </c>
      <c r="V90" s="3" t="n">
        <f aca="false">AC90+AF90+AH90</f>
        <v>8787.38671233623</v>
      </c>
      <c r="W90" s="3" t="n">
        <f aca="false">U90/V90</f>
        <v>1.06388483089011</v>
      </c>
      <c r="X90" s="1" t="n">
        <v>7362.15277713529</v>
      </c>
      <c r="Y90" s="1" t="n">
        <v>6783.86207015678</v>
      </c>
      <c r="Z90" s="1" t="n">
        <v>648.006105266919</v>
      </c>
      <c r="AA90" s="1" t="n">
        <v>1348.03970927097</v>
      </c>
      <c r="AB90" s="3" t="n">
        <f aca="false">X90+Z90</f>
        <v>8010.15888240221</v>
      </c>
      <c r="AC90" s="3" t="n">
        <f aca="false">Y90+AA90</f>
        <v>8131.90177942775</v>
      </c>
      <c r="AD90" s="3" t="n">
        <f aca="false">AB90/AC90</f>
        <v>0.985028975960638</v>
      </c>
      <c r="AE90" s="1" t="n">
        <v>24.7231145477427</v>
      </c>
      <c r="AF90" s="1" t="n">
        <v>427.963936288481</v>
      </c>
      <c r="AG90" s="1" t="n">
        <v>1313.88542946985</v>
      </c>
      <c r="AH90" s="1" t="n">
        <v>227.52099662</v>
      </c>
      <c r="AI90" s="1" t="n">
        <v>45.7747458662681</v>
      </c>
      <c r="AJ90" s="1" t="n">
        <v>377.17</v>
      </c>
      <c r="AK90" s="1" t="n">
        <v>10135.6806986347</v>
      </c>
      <c r="AL90" s="1" t="n">
        <v>3458.28949016553</v>
      </c>
      <c r="AM90" s="1" t="n">
        <v>6677.39120846919</v>
      </c>
      <c r="AN90" s="1" t="n">
        <v>3412.67246337298</v>
      </c>
      <c r="AQ90" s="3" t="n">
        <f aca="false">AG90-AH90</f>
        <v>1086.36443284985</v>
      </c>
    </row>
    <row r="91" customFormat="false" ht="15" hidden="false" customHeight="false" outlineLevel="0" collapsed="false">
      <c r="A91" s="5" t="n">
        <v>44621</v>
      </c>
      <c r="B91" s="1" t="n">
        <v>107.324528936</v>
      </c>
      <c r="C91" s="1" t="n">
        <v>284.737734046333</v>
      </c>
      <c r="D91" s="17" t="n">
        <f aca="false">SUM(Data!C270:C272)</f>
        <v>852.368</v>
      </c>
      <c r="E91" s="17" t="n">
        <f aca="false">SUM(Data!D270:D272)</f>
        <v>9658.54211134359</v>
      </c>
      <c r="F91" s="17" t="n">
        <f aca="false">SUM(Data!E270:E272)</f>
        <v>0</v>
      </c>
      <c r="G91" s="17"/>
      <c r="H91" s="17"/>
      <c r="I91" s="1" t="n">
        <v>0</v>
      </c>
      <c r="J91" s="1" t="n">
        <v>0</v>
      </c>
      <c r="K91" s="1" t="n">
        <v>8219.586540166</v>
      </c>
      <c r="L91" s="1" t="n">
        <v>7518.62793016</v>
      </c>
      <c r="M91" s="1" t="n">
        <v>797.791312331</v>
      </c>
      <c r="N91" s="1" t="n">
        <v>94.883802765</v>
      </c>
      <c r="P91" s="1" t="n">
        <v>93.0891638223333</v>
      </c>
      <c r="Q91" s="3" t="n">
        <f aca="false">AVERAGE(Data!L270:L272)</f>
        <v>67.5319067942009</v>
      </c>
      <c r="R91" s="3" t="n">
        <f aca="false">AVERAGE(Data!M270:M272)</f>
        <v>129.630423839267</v>
      </c>
      <c r="S91" s="3" t="n">
        <f aca="false">Q91/R91</f>
        <v>0.520957232061016</v>
      </c>
      <c r="T91" s="3" t="n">
        <v>26469576.1314962</v>
      </c>
      <c r="U91" s="3" t="n">
        <f aca="false">AB91+AE91+AG91</f>
        <v>10026.692990876</v>
      </c>
      <c r="V91" s="3" t="n">
        <f aca="false">AC91+AF91+AH91</f>
        <v>9210.28952192628</v>
      </c>
      <c r="W91" s="3" t="n">
        <f aca="false">U91/V91</f>
        <v>1.08864036977407</v>
      </c>
      <c r="X91" s="1" t="n">
        <v>8171.32534161282</v>
      </c>
      <c r="Y91" s="1" t="n">
        <v>7188.01069260497</v>
      </c>
      <c r="Z91" s="1" t="n">
        <v>607.50004507681</v>
      </c>
      <c r="AA91" s="1" t="n">
        <v>1314.64462006453</v>
      </c>
      <c r="AB91" s="3" t="n">
        <f aca="false">X91+Z91</f>
        <v>8778.82538668963</v>
      </c>
      <c r="AC91" s="3" t="n">
        <f aca="false">Y91+AA91</f>
        <v>8502.6553126695</v>
      </c>
      <c r="AD91" s="3" t="n">
        <f aca="false">AB91/AC91</f>
        <v>1.03248045038455</v>
      </c>
      <c r="AE91" s="1" t="n">
        <v>32.8287862682963</v>
      </c>
      <c r="AF91" s="1" t="n">
        <v>511.803218746781</v>
      </c>
      <c r="AG91" s="1" t="n">
        <v>1215.0388179181</v>
      </c>
      <c r="AH91" s="1" t="n">
        <v>195.83099051</v>
      </c>
      <c r="AI91" s="1" t="n">
        <v>19.164706932</v>
      </c>
      <c r="AJ91" s="1" t="n">
        <v>2.8</v>
      </c>
      <c r="AK91" s="1" t="n">
        <v>10516.0963373397</v>
      </c>
      <c r="AL91" s="1" t="n">
        <v>3529.58495592474</v>
      </c>
      <c r="AM91" s="1" t="n">
        <v>6986.51138141499</v>
      </c>
      <c r="AN91" s="1" t="n">
        <v>4091.01863691499</v>
      </c>
      <c r="AQ91" s="3" t="n">
        <f aca="false">AG91-AH91</f>
        <v>1019.2078274081</v>
      </c>
    </row>
    <row r="92" customFormat="false" ht="15" hidden="false" customHeight="false" outlineLevel="0" collapsed="false">
      <c r="A92" s="5" t="n">
        <v>44713</v>
      </c>
      <c r="B92" s="1" t="n">
        <v>108.600432275667</v>
      </c>
      <c r="C92" s="1" t="n">
        <v>291.761927177333</v>
      </c>
      <c r="D92" s="17" t="n">
        <f aca="false">SUM(Data!C273:C275)</f>
        <v>877.716</v>
      </c>
      <c r="E92" s="17" t="n">
        <f aca="false">SUM(Data!D273:D275)</f>
        <v>10732.6109788587</v>
      </c>
      <c r="F92" s="17" t="n">
        <f aca="false">SUM(Data!E273:E275)</f>
        <v>0</v>
      </c>
      <c r="G92" s="17"/>
      <c r="H92" s="17"/>
      <c r="I92" s="1" t="n">
        <v>0</v>
      </c>
      <c r="J92" s="1" t="n">
        <v>0</v>
      </c>
      <c r="K92" s="1" t="n">
        <v>8522.453650233</v>
      </c>
      <c r="L92" s="1" t="n">
        <v>7786.52439353</v>
      </c>
      <c r="M92" s="1" t="n">
        <v>818.531526997</v>
      </c>
      <c r="N92" s="1" t="n">
        <v>106.741417770667</v>
      </c>
      <c r="P92" s="1" t="n">
        <v>94.1958332493334</v>
      </c>
      <c r="Q92" s="3" t="n">
        <f aca="false">AVERAGE(Data!L273:L275)</f>
        <v>68.4369518238402</v>
      </c>
      <c r="R92" s="3" t="n">
        <f aca="false">AVERAGE(Data!M273:M275)</f>
        <v>133.48541602982</v>
      </c>
      <c r="S92" s="3" t="n">
        <f aca="false">Q92/R92</f>
        <v>0.512692351414268</v>
      </c>
      <c r="T92" s="3" t="n">
        <v>27624457.7588206</v>
      </c>
      <c r="U92" s="3" t="n">
        <f aca="false">AB92+AE92+AG92</f>
        <v>10974.965238758</v>
      </c>
      <c r="V92" s="3" t="n">
        <f aca="false">AC92+AF92+AH92</f>
        <v>9760.51622750962</v>
      </c>
      <c r="W92" s="3" t="n">
        <f aca="false">U92/V92</f>
        <v>1.12442467006259</v>
      </c>
      <c r="X92" s="1" t="n">
        <v>8891.82721604121</v>
      </c>
      <c r="Y92" s="1" t="n">
        <v>7751.89081165621</v>
      </c>
      <c r="Z92" s="1" t="n">
        <v>702.425058746434</v>
      </c>
      <c r="AA92" s="1" t="n">
        <v>1317.68570582458</v>
      </c>
      <c r="AB92" s="3" t="n">
        <f aca="false">X92+Z92</f>
        <v>9594.25227478765</v>
      </c>
      <c r="AC92" s="3" t="n">
        <f aca="false">Y92+AA92</f>
        <v>9069.57651748079</v>
      </c>
      <c r="AD92" s="3" t="n">
        <f aca="false">AB92/AC92</f>
        <v>1.05785008333031</v>
      </c>
      <c r="AE92" s="1" t="n">
        <v>99.0079858023907</v>
      </c>
      <c r="AF92" s="1" t="n">
        <v>450.759442678833</v>
      </c>
      <c r="AG92" s="1" t="n">
        <v>1281.704978168</v>
      </c>
      <c r="AH92" s="1" t="n">
        <v>240.18026735</v>
      </c>
      <c r="AI92" s="1" t="n">
        <v>21.924596992</v>
      </c>
      <c r="AJ92" s="1" t="n">
        <v>2.8</v>
      </c>
      <c r="AK92" s="1" t="n">
        <v>11699.2031962976</v>
      </c>
      <c r="AL92" s="1" t="n">
        <v>4356.85274480158</v>
      </c>
      <c r="AM92" s="1" t="n">
        <v>7342.35045149601</v>
      </c>
      <c r="AN92" s="1" t="n">
        <v>3985.33717432001</v>
      </c>
      <c r="AQ92" s="3" t="n">
        <f aca="false">AG92-AH92</f>
        <v>1041.524710818</v>
      </c>
    </row>
    <row r="93" customFormat="false" ht="15" hidden="false" customHeight="false" outlineLevel="0" collapsed="false">
      <c r="A93" s="5" t="n">
        <v>44805</v>
      </c>
      <c r="B93" s="1" t="n">
        <v>109.514609700667</v>
      </c>
      <c r="C93" s="1" t="n">
        <v>295.758978588333</v>
      </c>
      <c r="D93" s="17" t="n">
        <f aca="false">SUM(Data!C276:C278)</f>
        <v>889.255</v>
      </c>
      <c r="E93" s="17" t="n">
        <f aca="false">SUM(Data!D276:D278)</f>
        <v>11083.5695743475</v>
      </c>
      <c r="F93" s="17" t="n">
        <f aca="false">SUM(Data!E276:E278)</f>
        <v>0</v>
      </c>
      <c r="G93" s="17"/>
      <c r="H93" s="17"/>
      <c r="I93" s="1" t="n">
        <v>0</v>
      </c>
      <c r="J93" s="1" t="n">
        <v>0</v>
      </c>
      <c r="K93" s="1" t="n">
        <v>8055.863714924</v>
      </c>
      <c r="L93" s="1" t="n">
        <v>7600.133131552</v>
      </c>
      <c r="M93" s="1" t="n">
        <v>339.012758077</v>
      </c>
      <c r="N93" s="1" t="n">
        <v>91.6223372156667</v>
      </c>
      <c r="P93" s="1" t="n">
        <v>94.9887555503333</v>
      </c>
      <c r="Q93" s="3" t="n">
        <f aca="false">AVERAGE(Data!L276:L278)</f>
        <v>69.0645866932994</v>
      </c>
      <c r="R93" s="3" t="n">
        <f aca="false">AVERAGE(Data!M276:M278)</f>
        <v>135.240298264584</v>
      </c>
      <c r="S93" s="3" t="n">
        <f aca="false">Q93/R93</f>
        <v>0.510680526289446</v>
      </c>
      <c r="T93" s="3" t="n">
        <v>28796599.0097946</v>
      </c>
      <c r="U93" s="3" t="n">
        <f aca="false">AB93+AE93+AG93</f>
        <v>10254.5691866812</v>
      </c>
      <c r="V93" s="3" t="n">
        <f aca="false">AC93+AF93+AH93</f>
        <v>10292.8083668525</v>
      </c>
      <c r="W93" s="3" t="n">
        <f aca="false">U93/V93</f>
        <v>0.996284864265567</v>
      </c>
      <c r="X93" s="1" t="n">
        <v>8082.27334768865</v>
      </c>
      <c r="Y93" s="1" t="n">
        <v>7900.91923303089</v>
      </c>
      <c r="Z93" s="1" t="n">
        <v>777.116141642447</v>
      </c>
      <c r="AA93" s="1" t="n">
        <v>1478.40621807848</v>
      </c>
      <c r="AB93" s="3" t="n">
        <f aca="false">X93+Z93</f>
        <v>8859.3894893311</v>
      </c>
      <c r="AC93" s="3" t="n">
        <f aca="false">Y93+AA93</f>
        <v>9379.32545110937</v>
      </c>
      <c r="AD93" s="3" t="n">
        <f aca="false">AB93/AC93</f>
        <v>0.944565740416143</v>
      </c>
      <c r="AE93" s="1" t="n">
        <v>54.4516194200658</v>
      </c>
      <c r="AF93" s="1" t="n">
        <v>575.873632063156</v>
      </c>
      <c r="AG93" s="1" t="n">
        <v>1340.72807793</v>
      </c>
      <c r="AH93" s="1" t="n">
        <v>337.60928368</v>
      </c>
      <c r="AI93" s="1" t="n">
        <v>30.06855712</v>
      </c>
      <c r="AJ93" s="1" t="n">
        <v>2.8</v>
      </c>
      <c r="AK93" s="1" t="n">
        <v>11706.1662113739</v>
      </c>
      <c r="AL93" s="1" t="n">
        <v>4734.82635410886</v>
      </c>
      <c r="AM93" s="1" t="n">
        <v>6971.33985726501</v>
      </c>
      <c r="AN93" s="1" t="n">
        <v>3525.46437094501</v>
      </c>
      <c r="AQ93" s="3" t="n">
        <f aca="false">AG93-AH93</f>
        <v>1003.11879425</v>
      </c>
    </row>
    <row r="94" customFormat="false" ht="15" hidden="false" customHeight="false" outlineLevel="0" collapsed="false">
      <c r="A94" s="5" t="n">
        <v>44896</v>
      </c>
      <c r="B94" s="1" t="n">
        <v>110.197508105</v>
      </c>
      <c r="C94" s="1" t="n">
        <v>298.392937544333</v>
      </c>
      <c r="D94" s="17" t="n">
        <f aca="false">SUM(Data!C279:C281)</f>
        <v>892.52</v>
      </c>
      <c r="E94" s="17" t="n">
        <f aca="false">SUM(Data!D279:D281)</f>
        <v>13747.2397219685</v>
      </c>
      <c r="F94" s="17" t="n">
        <f aca="false">SUM(Data!E279:E281)</f>
        <v>0</v>
      </c>
      <c r="G94" s="17"/>
      <c r="H94" s="17"/>
      <c r="I94" s="1" t="n">
        <v>0</v>
      </c>
      <c r="J94" s="1" t="n">
        <v>0</v>
      </c>
      <c r="K94" s="1" t="n">
        <v>7839.448900159</v>
      </c>
      <c r="L94" s="1" t="n">
        <v>7453.578301286</v>
      </c>
      <c r="M94" s="1" t="n">
        <v>364.656257181</v>
      </c>
      <c r="N94" s="1" t="n">
        <v>84.3979984916667</v>
      </c>
      <c r="P94" s="1" t="n">
        <v>95.581075329</v>
      </c>
      <c r="Q94" s="3" t="n">
        <f aca="false">AVERAGE(Data!L279:L281)</f>
        <v>69.3493456539834</v>
      </c>
      <c r="R94" s="3" t="n">
        <f aca="false">AVERAGE(Data!M279:M281)</f>
        <v>135.736848268615</v>
      </c>
      <c r="S94" s="3" t="n">
        <f aca="false">Q94/R94</f>
        <v>0.510910239471195</v>
      </c>
      <c r="T94" s="3" t="n">
        <v>31043622.9463593</v>
      </c>
      <c r="U94" s="3" t="n">
        <f aca="false">AB94+AE94+AG94</f>
        <v>10178.9615505891</v>
      </c>
      <c r="V94" s="3" t="n">
        <f aca="false">AC94+AF94+AH94</f>
        <v>10049.4451519285</v>
      </c>
      <c r="W94" s="3" t="n">
        <f aca="false">U94/V94</f>
        <v>1.01288791537269</v>
      </c>
      <c r="X94" s="1" t="n">
        <v>7887.8710758624</v>
      </c>
      <c r="Y94" s="1" t="n">
        <v>7648.29361163373</v>
      </c>
      <c r="Z94" s="1" t="n">
        <v>822.46908883004</v>
      </c>
      <c r="AA94" s="1" t="n">
        <v>1451.5652971255</v>
      </c>
      <c r="AB94" s="3" t="n">
        <f aca="false">X94+Z94</f>
        <v>8710.34016469244</v>
      </c>
      <c r="AC94" s="3" t="n">
        <f aca="false">Y94+AA94</f>
        <v>9099.85890875923</v>
      </c>
      <c r="AD94" s="3" t="n">
        <f aca="false">AB94/AC94</f>
        <v>0.957195078739973</v>
      </c>
      <c r="AE94" s="1" t="n">
        <v>46.5305953276623</v>
      </c>
      <c r="AF94" s="1" t="n">
        <v>573.36697265925</v>
      </c>
      <c r="AG94" s="1" t="n">
        <v>1422.09079056895</v>
      </c>
      <c r="AH94" s="1" t="n">
        <v>376.21927051</v>
      </c>
      <c r="AI94" s="1" t="n">
        <v>25.5793533049307</v>
      </c>
      <c r="AJ94" s="1" t="n">
        <v>2.8</v>
      </c>
      <c r="AK94" s="1" t="n">
        <v>11277.8498893019</v>
      </c>
      <c r="AL94" s="1" t="n">
        <v>4232.54189135684</v>
      </c>
      <c r="AM94" s="1" t="n">
        <v>7045.30799794502</v>
      </c>
      <c r="AN94" s="1" t="n">
        <v>3497.93241957501</v>
      </c>
      <c r="AQ94" s="3" t="n">
        <f aca="false">AG94-AH94</f>
        <v>1045.87152005895</v>
      </c>
    </row>
    <row r="95" customFormat="false" ht="15" hidden="false" customHeight="false" outlineLevel="0" collapsed="false">
      <c r="A95" s="5" t="n">
        <v>44986</v>
      </c>
      <c r="B95" s="1" t="n">
        <v>110.532669143333</v>
      </c>
      <c r="C95" s="1" t="n">
        <v>301.24766638</v>
      </c>
      <c r="D95" s="17" t="n">
        <f aca="false">SUM(Data!C282:C284)</f>
        <v>901.846</v>
      </c>
      <c r="E95" s="17" t="n">
        <f aca="false">SUM(Data!D282:D284)</f>
        <v>10765.526547228</v>
      </c>
      <c r="F95" s="17" t="n">
        <f aca="false">SUM(Data!E282:E284)</f>
        <v>0</v>
      </c>
      <c r="G95" s="17"/>
      <c r="H95" s="17"/>
      <c r="I95" s="1" t="n">
        <v>0</v>
      </c>
      <c r="J95" s="1" t="n">
        <v>0</v>
      </c>
      <c r="K95" s="1" t="n">
        <v>7593.589063511</v>
      </c>
      <c r="L95" s="1" t="n">
        <v>7377.874219033</v>
      </c>
      <c r="M95" s="1" t="n">
        <v>319.454468337</v>
      </c>
      <c r="N95" s="1" t="n">
        <v>76.8274842683333</v>
      </c>
      <c r="P95" s="1" t="n">
        <v>95.8717811066667</v>
      </c>
      <c r="Q95" s="3" t="n">
        <f aca="false">AVERAGE(Data!L282:L284)</f>
        <v>69.5273203126574</v>
      </c>
      <c r="R95" s="3" t="n">
        <f aca="false">AVERAGE(Data!M282:M284)</f>
        <v>137.155171496053</v>
      </c>
      <c r="S95" s="3" t="n">
        <f aca="false">Q95/R95</f>
        <v>0.506924526098954</v>
      </c>
      <c r="T95" s="3" t="n">
        <v>27778476.2823676</v>
      </c>
      <c r="U95" s="3" t="n">
        <f aca="false">AB95+AE95+AG95</f>
        <v>9687.8049357299</v>
      </c>
      <c r="V95" s="3" t="n">
        <f aca="false">AC95+AF95+AH95</f>
        <v>9295.7650355392</v>
      </c>
      <c r="W95" s="3" t="n">
        <f aca="false">U95/V95</f>
        <v>1.04217403287323</v>
      </c>
      <c r="X95" s="1" t="n">
        <v>7551.31787147011</v>
      </c>
      <c r="Y95" s="1" t="n">
        <v>7057.95119372105</v>
      </c>
      <c r="Z95" s="1" t="n">
        <v>786.527002562072</v>
      </c>
      <c r="AA95" s="1" t="n">
        <v>1224.63360609634</v>
      </c>
      <c r="AB95" s="3" t="n">
        <f aca="false">X95+Z95</f>
        <v>8337.84487403218</v>
      </c>
      <c r="AC95" s="3" t="n">
        <f aca="false">Y95+AA95</f>
        <v>8282.58479981739</v>
      </c>
      <c r="AD95" s="3" t="n">
        <f aca="false">AB95/AC95</f>
        <v>1.0066718392326</v>
      </c>
      <c r="AE95" s="1" t="n">
        <v>56.0023777710372</v>
      </c>
      <c r="AF95" s="1" t="n">
        <v>740.948955601811</v>
      </c>
      <c r="AG95" s="1" t="n">
        <v>1293.95768392668</v>
      </c>
      <c r="AH95" s="1" t="n">
        <v>272.23128012</v>
      </c>
      <c r="AI95" s="1" t="n">
        <v>19.35505070632</v>
      </c>
      <c r="AJ95" s="1" t="n">
        <v>2.8</v>
      </c>
      <c r="AK95" s="1" t="n">
        <v>10918.906809768</v>
      </c>
      <c r="AL95" s="1" t="n">
        <v>3468.76698741584</v>
      </c>
      <c r="AM95" s="1" t="n">
        <v>7450.13982235217</v>
      </c>
      <c r="AN95" s="1" t="n">
        <v>3792.28884177503</v>
      </c>
      <c r="AQ95" s="3" t="n">
        <f aca="false">AG95-AH95</f>
        <v>1021.72640380668</v>
      </c>
    </row>
    <row r="96" customFormat="false" ht="15" hidden="false" customHeight="false" outlineLevel="0" collapsed="false">
      <c r="A96" s="5" t="n">
        <v>45078</v>
      </c>
      <c r="B96" s="1" t="n">
        <v>110.835549901</v>
      </c>
      <c r="C96" s="1" t="n">
        <v>303.30897824</v>
      </c>
      <c r="D96" s="17" t="n">
        <f aca="false">SUM(Data!C285:C287)</f>
        <v>912.599</v>
      </c>
      <c r="E96" s="17" t="n">
        <f aca="false">SUM(Data!D285:D287)</f>
        <v>11269.3734877835</v>
      </c>
      <c r="F96" s="17" t="n">
        <f aca="false">SUM(Data!E285:E287)</f>
        <v>0</v>
      </c>
      <c r="G96" s="17"/>
      <c r="H96" s="17"/>
      <c r="I96" s="1" t="n">
        <v>0</v>
      </c>
      <c r="J96" s="1" t="n">
        <v>0</v>
      </c>
      <c r="K96" s="1" t="n">
        <v>7463.555418013</v>
      </c>
      <c r="L96" s="1" t="n">
        <v>7093.15448864</v>
      </c>
      <c r="M96" s="1" t="n">
        <v>415.585130956</v>
      </c>
      <c r="N96" s="1" t="n">
        <v>71.5275327</v>
      </c>
      <c r="P96" s="1" t="n">
        <v>96.134488213</v>
      </c>
      <c r="Q96" s="3" t="n">
        <f aca="false">AVERAGE(Data!L285:L287)</f>
        <v>69.8270525464578</v>
      </c>
      <c r="R96" s="3" t="n">
        <f aca="false">AVERAGE(Data!M285:M287)</f>
        <v>138.790516731378</v>
      </c>
      <c r="S96" s="3" t="n">
        <f aca="false">Q96/R96</f>
        <v>0.503111121645325</v>
      </c>
      <c r="T96" s="3" t="n">
        <v>29098381.2631192</v>
      </c>
      <c r="U96" s="3" t="n">
        <f aca="false">AB96+AE96+AG96</f>
        <v>10050.3750908091</v>
      </c>
      <c r="V96" s="3" t="n">
        <f aca="false">AC96+AF96+AH96</f>
        <v>9274.770161336</v>
      </c>
      <c r="W96" s="3" t="n">
        <f aca="false">U96/V96</f>
        <v>1.08362524526013</v>
      </c>
      <c r="X96" s="1" t="n">
        <v>7769.61567945361</v>
      </c>
      <c r="Y96" s="1" t="n">
        <v>7046.94358710149</v>
      </c>
      <c r="Z96" s="1" t="n">
        <v>755.565271019321</v>
      </c>
      <c r="AA96" s="1" t="n">
        <v>1251.6653956361</v>
      </c>
      <c r="AB96" s="3" t="n">
        <f aca="false">X96+Z96</f>
        <v>8525.18095047293</v>
      </c>
      <c r="AC96" s="3" t="n">
        <f aca="false">Y96+AA96</f>
        <v>8298.60898273759</v>
      </c>
      <c r="AD96" s="3" t="n">
        <f aca="false">AB96/AC96</f>
        <v>1.02730240311438</v>
      </c>
      <c r="AE96" s="1" t="n">
        <v>56.7288124600661</v>
      </c>
      <c r="AF96" s="1" t="n">
        <v>700.72363996841</v>
      </c>
      <c r="AG96" s="1" t="n">
        <v>1468.46532787608</v>
      </c>
      <c r="AH96" s="1" t="n">
        <v>275.43753863</v>
      </c>
      <c r="AI96" s="1" t="n">
        <v>22.48395440192</v>
      </c>
      <c r="AJ96" s="1" t="n">
        <v>2.8</v>
      </c>
      <c r="AK96" s="1" t="n">
        <v>11471.9377041324</v>
      </c>
      <c r="AL96" s="1" t="n">
        <v>3384.16858399737</v>
      </c>
      <c r="AM96" s="1" t="n">
        <v>8087.76912013501</v>
      </c>
      <c r="AN96" s="1" t="n">
        <v>4077.12538471502</v>
      </c>
      <c r="AQ96" s="3" t="n">
        <f aca="false">AG96-AH96</f>
        <v>1193.02778924608</v>
      </c>
    </row>
    <row r="97" customFormat="false" ht="15" hidden="false" customHeight="false" outlineLevel="0" collapsed="false">
      <c r="A97" s="5" t="n">
        <v>45170</v>
      </c>
      <c r="B97" s="1" t="n">
        <v>111.977385138333</v>
      </c>
      <c r="C97" s="1" t="n">
        <v>306.161681526333</v>
      </c>
      <c r="D97" s="17" t="n">
        <f aca="false">SUM(Data!C288:C290)</f>
        <v>920.506</v>
      </c>
      <c r="E97" s="17" t="n">
        <f aca="false">SUM(Data!D288:D290)</f>
        <v>11824.4297212944</v>
      </c>
      <c r="F97" s="17" t="n">
        <f aca="false">SUM(Data!E288:E290)</f>
        <v>0</v>
      </c>
      <c r="G97" s="17"/>
      <c r="H97" s="17"/>
      <c r="I97" s="1" t="n">
        <v>0</v>
      </c>
      <c r="J97" s="1" t="n">
        <v>0</v>
      </c>
      <c r="K97" s="1" t="n">
        <v>8324.751777141</v>
      </c>
      <c r="L97" s="1" t="n">
        <v>7401.57893065</v>
      </c>
      <c r="M97" s="1" t="n">
        <v>825.980470892</v>
      </c>
      <c r="N97" s="1" t="n">
        <v>82.3888872176667</v>
      </c>
      <c r="P97" s="1" t="n">
        <v>97.1248721356667</v>
      </c>
      <c r="Q97" s="3" t="n">
        <f aca="false">AVERAGE(Data!L288:L290)</f>
        <v>70.6440117846121</v>
      </c>
      <c r="R97" s="3" t="n">
        <f aca="false">AVERAGE(Data!M288:M290)</f>
        <v>139.993034612501</v>
      </c>
      <c r="S97" s="3" t="n">
        <f aca="false">Q97/R97</f>
        <v>0.504625190675764</v>
      </c>
      <c r="T97" s="3" t="n">
        <v>29064059.0546719</v>
      </c>
      <c r="U97" s="3" t="n">
        <f aca="false">AB97+AE97+AG97</f>
        <v>10761.3076074468</v>
      </c>
      <c r="V97" s="3" t="n">
        <f aca="false">AC97+AF97+AH97</f>
        <v>10206.5441847069</v>
      </c>
      <c r="W97" s="3" t="n">
        <f aca="false">U97/V97</f>
        <v>1.05435369824501</v>
      </c>
      <c r="X97" s="1" t="n">
        <v>8370.8417390764</v>
      </c>
      <c r="Y97" s="1" t="n">
        <v>7641.81635739899</v>
      </c>
      <c r="Z97" s="1" t="n">
        <v>800.996044653077</v>
      </c>
      <c r="AA97" s="1" t="n">
        <v>1410.85361490711</v>
      </c>
      <c r="AB97" s="3" t="n">
        <f aca="false">X97+Z97</f>
        <v>9171.83778372948</v>
      </c>
      <c r="AC97" s="3" t="n">
        <f aca="false">Y97+AA97</f>
        <v>9052.6699723061</v>
      </c>
      <c r="AD97" s="3" t="n">
        <f aca="false">AB97/AC97</f>
        <v>1.01316383031613</v>
      </c>
      <c r="AE97" s="1" t="n">
        <v>63.5081570285547</v>
      </c>
      <c r="AF97" s="1" t="n">
        <v>841.651580980779</v>
      </c>
      <c r="AG97" s="1" t="n">
        <v>1525.9616666888</v>
      </c>
      <c r="AH97" s="1" t="n">
        <v>312.22263142</v>
      </c>
      <c r="AI97" s="1" t="n">
        <v>26.1155566912</v>
      </c>
      <c r="AJ97" s="1" t="n">
        <v>2.8</v>
      </c>
      <c r="AK97" s="1" t="n">
        <v>10341.3201784453</v>
      </c>
      <c r="AL97" s="1" t="n">
        <v>3693.55964308526</v>
      </c>
      <c r="AM97" s="1" t="n">
        <v>6647.76053536002</v>
      </c>
      <c r="AN97" s="1" t="n">
        <v>3229.88093754001</v>
      </c>
      <c r="AQ97" s="3" t="n">
        <f aca="false">AG97-AH97</f>
        <v>1213.7390352688</v>
      </c>
    </row>
    <row r="98" customFormat="false" ht="15" hidden="false" customHeight="false" outlineLevel="0" collapsed="false">
      <c r="A98" s="5" t="n">
        <v>45261</v>
      </c>
      <c r="B98" s="1" t="n">
        <v>111.950953318333</v>
      </c>
      <c r="C98" s="1" t="n">
        <v>308.111157459667</v>
      </c>
      <c r="D98" s="17" t="n">
        <f aca="false">SUM(Data!C291:C293)</f>
        <v>921.468</v>
      </c>
      <c r="E98" s="17" t="n">
        <f aca="false">SUM(Data!D291:D293)</f>
        <v>14024.1380855604</v>
      </c>
      <c r="F98" s="17" t="n">
        <f aca="false">SUM(Data!E291:E293)</f>
        <v>0</v>
      </c>
      <c r="G98" s="17"/>
      <c r="H98" s="17"/>
      <c r="I98" s="1" t="n">
        <v>0</v>
      </c>
      <c r="J98" s="1" t="n">
        <v>0</v>
      </c>
      <c r="K98" s="1" t="n">
        <v>2609.738572796</v>
      </c>
      <c r="L98" s="1" t="n">
        <v>7277.95040156</v>
      </c>
      <c r="M98" s="1" t="n">
        <v>-4664.920530013</v>
      </c>
      <c r="N98" s="1" t="n">
        <v>79.858248929</v>
      </c>
      <c r="P98" s="1" t="n">
        <v>97.1019461893333</v>
      </c>
      <c r="Q98" s="3" t="n">
        <f aca="false">AVERAGE(Data!L291:L293)</f>
        <v>70.4625302701999</v>
      </c>
      <c r="R98" s="3" t="n">
        <f aca="false">AVERAGE(Data!M291:M293)</f>
        <v>140.139338166521</v>
      </c>
      <c r="S98" s="3" t="n">
        <f aca="false">Q98/R98</f>
        <v>0.502803361226614</v>
      </c>
      <c r="T98" s="3" t="n">
        <v>30676739.3277347</v>
      </c>
      <c r="U98" s="3" t="n">
        <f aca="false">AB98+AE98+AG98</f>
        <v>10343.6531902338</v>
      </c>
      <c r="V98" s="3" t="n">
        <f aca="false">AC98+AF98+AH98</f>
        <v>9989.75474511729</v>
      </c>
      <c r="W98" s="3" t="n">
        <f aca="false">U98/V98</f>
        <v>1.03542613949452</v>
      </c>
      <c r="X98" s="1" t="n">
        <v>7792.24151968161</v>
      </c>
      <c r="Y98" s="1" t="n">
        <v>7530.5020363831</v>
      </c>
      <c r="Z98" s="1" t="n">
        <v>845.124920704238</v>
      </c>
      <c r="AA98" s="1" t="n">
        <v>1398.05824746077</v>
      </c>
      <c r="AB98" s="3" t="n">
        <f aca="false">X98+Z98</f>
        <v>8637.36644038585</v>
      </c>
      <c r="AC98" s="3" t="n">
        <f aca="false">Y98+AA98</f>
        <v>8928.56028384387</v>
      </c>
      <c r="AD98" s="3" t="n">
        <f aca="false">AB98/AC98</f>
        <v>0.967386248823908</v>
      </c>
      <c r="AE98" s="1" t="n">
        <v>60.2720006180637</v>
      </c>
      <c r="AF98" s="1" t="n">
        <v>753.545529693421</v>
      </c>
      <c r="AG98" s="1" t="n">
        <v>1646.0147492299</v>
      </c>
      <c r="AH98" s="1" t="n">
        <v>307.64893158</v>
      </c>
      <c r="AI98" s="1" t="n">
        <v>25.1573106379801</v>
      </c>
      <c r="AJ98" s="1" t="n">
        <v>2.8</v>
      </c>
      <c r="AK98" s="1" t="n">
        <v>10874.4148025994</v>
      </c>
      <c r="AL98" s="1" t="n">
        <v>3960.2733556932</v>
      </c>
      <c r="AM98" s="1" t="n">
        <v>6914.14144690617</v>
      </c>
      <c r="AN98" s="1" t="n">
        <v>3251.59062428002</v>
      </c>
      <c r="AQ98" s="3" t="n">
        <f aca="false">AG98-AH98</f>
        <v>1338.3658176499</v>
      </c>
    </row>
    <row r="99" customFormat="false" ht="15" hidden="false" customHeight="false" outlineLevel="0" collapsed="false">
      <c r="A99" s="5" t="n">
        <v>45352</v>
      </c>
      <c r="D99" s="17" t="n">
        <f aca="false">SUM(Data!C294:C296)</f>
        <v>618.743</v>
      </c>
      <c r="E99" s="17" t="n">
        <f aca="false">SUM(Data!D294:D296)</f>
        <v>3367.07052211317</v>
      </c>
      <c r="F99" s="17" t="n">
        <f aca="false">SUM(Data!E294:E296)</f>
        <v>0</v>
      </c>
      <c r="G99" s="17"/>
      <c r="H99" s="17"/>
      <c r="Q99" s="3" t="n">
        <f aca="false">AVERAGE(Data!L294:L296)</f>
        <v>70.4784973435982</v>
      </c>
      <c r="R99" s="3" t="n">
        <f aca="false">AVERAGE(Data!M294:M296)</f>
        <v>141.150155808723</v>
      </c>
      <c r="S99" s="3"/>
      <c r="T99" s="3" t="n">
        <v>28232504.171034</v>
      </c>
      <c r="U99" s="3"/>
    </row>
    <row r="100" customFormat="false" ht="15" hidden="false" customHeight="false" outlineLevel="0" collapsed="false">
      <c r="A100" s="5" t="n">
        <v>45444</v>
      </c>
      <c r="Q100" s="3" t="s">
        <v>104</v>
      </c>
      <c r="T100" s="1" t="n">
        <v>28648035.4181262</v>
      </c>
      <c r="U100" s="1"/>
      <c r="AD100" s="1" t="n">
        <f aca="false">AVERAGE(AD15:AD82)</f>
        <v>0.963066898532998</v>
      </c>
    </row>
    <row r="101" customFormat="false" ht="15" hidden="false" customHeight="false" outlineLevel="0" collapsed="false">
      <c r="A101" s="5" t="n">
        <v>45536</v>
      </c>
    </row>
    <row r="102" customFormat="false" ht="15" hidden="false" customHeight="false" outlineLevel="0" collapsed="false">
      <c r="A102" s="5" t="n">
        <v>45627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AJ29" activePane="bottomRight" state="frozen"/>
      <selection pane="topLeft" activeCell="A1" activeCellId="0" sqref="A1"/>
      <selection pane="topRight" activeCell="AJ1" activeCellId="0" sqref="AJ1"/>
      <selection pane="bottomLeft" activeCell="A29" activeCellId="0" sqref="A29"/>
      <selection pane="bottomRight" activeCell="AO2" activeCellId="1" sqref="H15:H82 AO2"/>
    </sheetView>
  </sheetViews>
  <sheetFormatPr defaultColWidth="11.4296875" defaultRowHeight="15" zeroHeight="false" outlineLevelRow="0" outlineLevelCol="0"/>
  <cols>
    <col collapsed="false" customWidth="true" hidden="false" outlineLevel="0" max="24" min="24" style="1" width="25.14"/>
    <col collapsed="false" customWidth="true" hidden="false" outlineLevel="0" max="25" min="25" style="1" width="21.86"/>
    <col collapsed="false" customWidth="true" hidden="false" outlineLevel="0" max="26" min="26" style="1" width="23.43"/>
    <col collapsed="false" customWidth="true" hidden="false" outlineLevel="0" max="27" min="27" style="1" width="23.86"/>
    <col collapsed="false" customWidth="true" hidden="false" outlineLevel="0" max="28" min="28" style="1" width="31.28"/>
    <col collapsed="false" customWidth="true" hidden="false" outlineLevel="0" max="29" min="29" style="1" width="31.86"/>
    <col collapsed="false" customWidth="true" hidden="false" outlineLevel="0" max="30" min="30" style="1" width="22.14"/>
    <col collapsed="false" customWidth="true" hidden="false" outlineLevel="0" max="31" min="31" style="1" width="20.86"/>
    <col collapsed="false" customWidth="true" hidden="false" outlineLevel="0" max="32" min="32" style="1" width="22.86"/>
    <col collapsed="false" customWidth="true" hidden="false" outlineLevel="0" max="33" min="33" style="1" width="21.71"/>
    <col collapsed="false" customWidth="true" hidden="false" outlineLevel="0" max="34" min="34" style="1" width="40.86"/>
    <col collapsed="false" customWidth="true" hidden="false" outlineLevel="0" max="35" min="35" style="1" width="40"/>
    <col collapsed="false" customWidth="true" hidden="false" outlineLevel="0" max="36" min="36" style="1" width="37.14"/>
  </cols>
  <sheetData>
    <row r="1" customFormat="false" ht="15" hidden="false" customHeight="false" outlineLevel="0" collapsed="false">
      <c r="A1" s="1" t="s">
        <v>95</v>
      </c>
      <c r="B1" s="1" t="s">
        <v>7</v>
      </c>
      <c r="C1" s="1" t="s">
        <v>10</v>
      </c>
      <c r="D1" s="1" t="s">
        <v>12</v>
      </c>
      <c r="E1" s="1" t="s">
        <v>15</v>
      </c>
      <c r="F1" s="1" t="s">
        <v>17</v>
      </c>
      <c r="G1" s="1" t="s">
        <v>19</v>
      </c>
      <c r="H1" s="1" t="s">
        <v>21</v>
      </c>
      <c r="I1" s="1" t="s">
        <v>23</v>
      </c>
      <c r="J1" s="1" t="s">
        <v>25</v>
      </c>
      <c r="K1" s="1" t="s">
        <v>27</v>
      </c>
      <c r="L1" s="1" t="s">
        <v>29</v>
      </c>
      <c r="M1" s="1" t="s">
        <v>31</v>
      </c>
      <c r="N1" s="1" t="s">
        <v>33</v>
      </c>
      <c r="O1" s="1" t="s">
        <v>35</v>
      </c>
      <c r="P1" s="1" t="s">
        <v>37</v>
      </c>
      <c r="Q1" s="1" t="s">
        <v>39</v>
      </c>
      <c r="R1" s="1" t="s">
        <v>41</v>
      </c>
      <c r="S1" s="1" t="s">
        <v>43</v>
      </c>
      <c r="T1" s="1" t="s">
        <v>45</v>
      </c>
      <c r="U1" s="1" t="s">
        <v>47</v>
      </c>
      <c r="V1" s="1" t="s">
        <v>49</v>
      </c>
      <c r="W1" s="1" t="s">
        <v>51</v>
      </c>
      <c r="X1" s="1" t="s">
        <v>53</v>
      </c>
      <c r="Y1" s="1" t="s">
        <v>55</v>
      </c>
      <c r="Z1" s="1" t="s">
        <v>57</v>
      </c>
      <c r="AA1" s="1" t="s">
        <v>59</v>
      </c>
      <c r="AB1" s="1" t="s">
        <v>61</v>
      </c>
      <c r="AC1" s="1" t="s">
        <v>63</v>
      </c>
      <c r="AD1" s="1" t="s">
        <v>65</v>
      </c>
      <c r="AE1" s="1" t="s">
        <v>67</v>
      </c>
      <c r="AF1" s="1" t="s">
        <v>69</v>
      </c>
      <c r="AG1" s="1" t="s">
        <v>71</v>
      </c>
      <c r="AH1" s="1" t="s">
        <v>73</v>
      </c>
      <c r="AI1" s="1" t="s">
        <v>75</v>
      </c>
      <c r="AJ1" s="1" t="s">
        <v>77</v>
      </c>
      <c r="AK1" s="1" t="s">
        <v>79</v>
      </c>
      <c r="AL1" s="1" t="s">
        <v>81</v>
      </c>
      <c r="AM1" s="1" t="s">
        <v>83</v>
      </c>
      <c r="AO1" s="1" t="s">
        <v>105</v>
      </c>
      <c r="AP1" s="1" t="s">
        <v>106</v>
      </c>
      <c r="AQ1" s="1" t="s">
        <v>107</v>
      </c>
      <c r="AR1" s="1" t="s">
        <v>108</v>
      </c>
    </row>
    <row r="2" customFormat="false" ht="15" hidden="false" customHeight="false" outlineLevel="0" collapsed="false">
      <c r="A2" s="5" t="n">
        <v>37316</v>
      </c>
      <c r="B2" s="1" t="n">
        <v>58.202395342</v>
      </c>
      <c r="C2" s="1" t="n">
        <v>178.164148405333</v>
      </c>
      <c r="D2" s="1" t="n">
        <v>1414.184387958</v>
      </c>
      <c r="E2" s="1" t="n">
        <v>1548.579154666</v>
      </c>
      <c r="F2" s="1" t="n">
        <v>49.457657223</v>
      </c>
      <c r="G2" s="1" t="n">
        <v>1129.782463109</v>
      </c>
      <c r="H2" s="1" t="n">
        <v>1408.669784063</v>
      </c>
      <c r="I2" s="1" t="n">
        <v>-248.951861278</v>
      </c>
      <c r="J2" s="1" t="n">
        <v>21.5021706453333</v>
      </c>
      <c r="K2" s="1" t="n">
        <v>6336.78486280736</v>
      </c>
      <c r="L2" s="1" t="n">
        <v>50.4825166106667</v>
      </c>
      <c r="M2" s="1" t="n">
        <v>73.97726</v>
      </c>
      <c r="N2" s="1" t="n">
        <v>45.2179595056432</v>
      </c>
      <c r="O2" s="1" t="n">
        <v>24.7505282088368</v>
      </c>
      <c r="P2" s="1" t="n">
        <v>31.4776720394074</v>
      </c>
      <c r="Q2" s="1" t="n">
        <v>75.2115868454629</v>
      </c>
      <c r="R2" s="1" t="n">
        <v>24.2242975342748</v>
      </c>
      <c r="S2" s="1" t="n">
        <v>28.9676890135203</v>
      </c>
      <c r="T2" s="1" t="n">
        <v>69.6890634166217</v>
      </c>
      <c r="V2" s="1" t="n">
        <v>26.536006300595</v>
      </c>
      <c r="W2" s="1" t="n">
        <v>73.63796</v>
      </c>
      <c r="X2" s="1" t="n">
        <v>1179.251261058</v>
      </c>
      <c r="Y2" s="1" t="n">
        <v>1456.029424782</v>
      </c>
      <c r="Z2" s="1" t="n">
        <v>215.347266113</v>
      </c>
      <c r="AA2" s="1" t="n">
        <v>379.021504267</v>
      </c>
      <c r="AB2" s="1" t="n">
        <v>1393.177955692</v>
      </c>
      <c r="AC2" s="1" t="n">
        <v>1813.837825357</v>
      </c>
      <c r="AD2" s="1" t="n">
        <v>24.611690394</v>
      </c>
      <c r="AE2" s="1" t="n">
        <v>302.429617595</v>
      </c>
      <c r="AF2" s="1" t="n">
        <v>401.313162778</v>
      </c>
      <c r="AG2" s="1" t="n">
        <v>14.023082059225</v>
      </c>
      <c r="AH2" s="1" t="n">
        <v>7.023</v>
      </c>
      <c r="AI2" s="1" t="n">
        <v>2</v>
      </c>
      <c r="AJ2" s="1" t="n">
        <v>1511.15066873</v>
      </c>
      <c r="AK2" s="1" t="n">
        <v>390.528368511</v>
      </c>
      <c r="AL2" s="1" t="n">
        <v>1160.960791352</v>
      </c>
      <c r="AM2" s="1" t="n">
        <v>713.455221794</v>
      </c>
      <c r="AO2" s="3" t="n">
        <f aca="false">D2/K2</f>
        <v>0.223170648613669</v>
      </c>
      <c r="AP2" s="3" t="n">
        <f aca="false">(1+D2/K2)</f>
        <v>1.22317064861367</v>
      </c>
      <c r="AQ2" s="3" t="n">
        <f aca="false">LN(AO2)</f>
        <v>-1.49981855974914</v>
      </c>
      <c r="AR2" s="3" t="n">
        <f aca="false">LN(AP2)</f>
        <v>0.201446379770642</v>
      </c>
    </row>
    <row r="3" customFormat="false" ht="15" hidden="false" customHeight="false" outlineLevel="0" collapsed="false">
      <c r="A3" s="5" t="n">
        <v>37408</v>
      </c>
      <c r="B3" s="1" t="n">
        <v>59.7241407393333</v>
      </c>
      <c r="C3" s="1" t="n">
        <v>179.329143913333</v>
      </c>
      <c r="D3" s="1" t="n">
        <v>1565.409435273</v>
      </c>
      <c r="E3" s="1" t="n">
        <v>1601.071803024</v>
      </c>
      <c r="F3" s="1" t="n">
        <v>-19.173077446</v>
      </c>
      <c r="G3" s="1" t="n">
        <v>1267.900266295</v>
      </c>
      <c r="H3" s="1" t="n">
        <v>1653.019725985</v>
      </c>
      <c r="I3" s="1" t="n">
        <v>-370.961687523</v>
      </c>
      <c r="J3" s="1" t="n">
        <v>26.4979364756667</v>
      </c>
      <c r="K3" s="1" t="n">
        <v>6670.1134895457</v>
      </c>
      <c r="L3" s="1" t="n">
        <v>51.8024199736667</v>
      </c>
      <c r="M3" s="1" t="n">
        <v>74.2356</v>
      </c>
      <c r="N3" s="1" t="n">
        <v>46.7235760471217</v>
      </c>
      <c r="O3" s="1" t="n">
        <v>25.5746433411638</v>
      </c>
      <c r="P3" s="1" t="n">
        <v>32.3006794476639</v>
      </c>
      <c r="Q3" s="1" t="n">
        <v>75.7033870286578</v>
      </c>
      <c r="R3" s="1" t="n">
        <v>25.0308908319832</v>
      </c>
      <c r="S3" s="1" t="n">
        <v>29.725071027932</v>
      </c>
      <c r="T3" s="1" t="n">
        <v>70.1447524346635</v>
      </c>
      <c r="V3" s="1" t="n">
        <v>26.8025160697799</v>
      </c>
      <c r="W3" s="1" t="n">
        <v>74.18355</v>
      </c>
      <c r="X3" s="1" t="n">
        <v>1297.677106371</v>
      </c>
      <c r="Y3" s="1" t="n">
        <v>1644.043460881</v>
      </c>
      <c r="Z3" s="1" t="n">
        <v>216.966401469</v>
      </c>
      <c r="AA3" s="1" t="n">
        <v>403.599481726</v>
      </c>
      <c r="AB3" s="1" t="n">
        <v>1523.576754907</v>
      </c>
      <c r="AC3" s="1" t="n">
        <v>2067.636134392</v>
      </c>
      <c r="AD3" s="1" t="n">
        <v>23.096081649</v>
      </c>
      <c r="AE3" s="1" t="n">
        <v>306.304287965</v>
      </c>
      <c r="AF3" s="1" t="n">
        <v>416.381166727</v>
      </c>
      <c r="AG3" s="1" t="n">
        <v>14.426364519225</v>
      </c>
      <c r="AH3" s="1" t="n">
        <v>11.68</v>
      </c>
      <c r="AI3" s="1" t="n">
        <v>2</v>
      </c>
      <c r="AJ3" s="1" t="n">
        <v>1623.250789981</v>
      </c>
      <c r="AK3" s="1" t="n">
        <v>337.399429044</v>
      </c>
      <c r="AL3" s="1" t="n">
        <v>1233.232480457</v>
      </c>
      <c r="AM3" s="1" t="n">
        <v>711.714965126</v>
      </c>
      <c r="AO3" s="3" t="n">
        <f aca="false">D3/K3</f>
        <v>0.234690075022939</v>
      </c>
      <c r="AP3" s="3" t="n">
        <f aca="false">(1+D3/K3)</f>
        <v>1.23469007502294</v>
      </c>
      <c r="AQ3" s="3" t="n">
        <f aca="false">LN(AO3)</f>
        <v>-1.44948946494885</v>
      </c>
      <c r="AR3" s="3" t="n">
        <f aca="false">LN(AP3)</f>
        <v>0.21081998718794</v>
      </c>
    </row>
    <row r="4" customFormat="false" ht="15" hidden="false" customHeight="false" outlineLevel="0" collapsed="false">
      <c r="A4" s="5" t="n">
        <v>37500</v>
      </c>
      <c r="B4" s="1" t="n">
        <v>60.8188734166667</v>
      </c>
      <c r="C4" s="1" t="n">
        <v>180.332177423333</v>
      </c>
      <c r="D4" s="1" t="n">
        <v>1513.032658314</v>
      </c>
      <c r="E4" s="1" t="n">
        <v>1585.70141682</v>
      </c>
      <c r="F4" s="1" t="n">
        <v>78.904320831</v>
      </c>
      <c r="G4" s="1" t="n">
        <v>1295.010885813</v>
      </c>
      <c r="H4" s="1" t="n">
        <v>1605.65318998</v>
      </c>
      <c r="I4" s="1" t="n">
        <v>-348.044169232</v>
      </c>
      <c r="J4" s="1" t="n">
        <v>26.9536212836667</v>
      </c>
      <c r="K4" s="1" t="n">
        <v>6961.58786126279</v>
      </c>
      <c r="L4" s="1" t="n">
        <v>52.7519489453333</v>
      </c>
      <c r="M4" s="1" t="n">
        <v>74.59155</v>
      </c>
      <c r="N4" s="1" t="n">
        <v>48.3779834019112</v>
      </c>
      <c r="O4" s="1" t="n">
        <v>26.4802006982691</v>
      </c>
      <c r="P4" s="1" t="n">
        <v>32.8927450488377</v>
      </c>
      <c r="Q4" s="1" t="n">
        <v>76.1268153256609</v>
      </c>
      <c r="R4" s="1" t="n">
        <v>25.9171947794294</v>
      </c>
      <c r="S4" s="1" t="n">
        <v>30.2699261934899</v>
      </c>
      <c r="T4" s="1" t="n">
        <v>70.5370898746762</v>
      </c>
      <c r="V4" s="1" t="n">
        <v>27.0873626373617</v>
      </c>
      <c r="W4" s="1" t="n">
        <v>74.56645</v>
      </c>
      <c r="X4" s="1" t="n">
        <v>1356.324165539</v>
      </c>
      <c r="Y4" s="1" t="n">
        <v>1601.654879786</v>
      </c>
      <c r="Z4" s="1" t="n">
        <v>223.145562495</v>
      </c>
      <c r="AA4" s="1" t="n">
        <v>415.960342308</v>
      </c>
      <c r="AB4" s="1" t="n">
        <v>1578.651191393</v>
      </c>
      <c r="AC4" s="1" t="n">
        <v>2009.645044749</v>
      </c>
      <c r="AD4" s="1" t="n">
        <v>19.198397928</v>
      </c>
      <c r="AE4" s="1" t="n">
        <v>359.973539343</v>
      </c>
      <c r="AF4" s="1" t="n">
        <v>432.047025993</v>
      </c>
      <c r="AG4" s="1" t="n">
        <v>14.724210119225</v>
      </c>
      <c r="AH4" s="1" t="n">
        <v>7.9061</v>
      </c>
      <c r="AI4" s="1" t="n">
        <v>2</v>
      </c>
      <c r="AJ4" s="1" t="n">
        <v>1591.406303841</v>
      </c>
      <c r="AK4" s="1" t="n">
        <v>345.792464969</v>
      </c>
      <c r="AL4" s="1" t="n">
        <v>1194.685481023</v>
      </c>
      <c r="AM4" s="1" t="n">
        <v>722.114078729</v>
      </c>
      <c r="AO4" s="3" t="n">
        <f aca="false">D4/K4</f>
        <v>0.217340165558084</v>
      </c>
      <c r="AP4" s="3" t="n">
        <f aca="false">(1+D4/K4)</f>
        <v>1.21734016555808</v>
      </c>
      <c r="AQ4" s="3" t="n">
        <f aca="false">LN(AO4)</f>
        <v>-1.52629156960076</v>
      </c>
      <c r="AR4" s="3" t="n">
        <f aca="false">LN(AP4)</f>
        <v>0.196668286500738</v>
      </c>
    </row>
    <row r="5" customFormat="false" ht="15" hidden="false" customHeight="false" outlineLevel="0" collapsed="false">
      <c r="A5" s="5" t="n">
        <v>37591</v>
      </c>
      <c r="B5" s="1" t="n">
        <v>61.8044605036667</v>
      </c>
      <c r="C5" s="1" t="n">
        <v>181.655631395333</v>
      </c>
      <c r="D5" s="1" t="n">
        <v>1657.131539013</v>
      </c>
      <c r="E5" s="1" t="n">
        <v>1656.653465281</v>
      </c>
      <c r="F5" s="1" t="n">
        <v>94.427914702</v>
      </c>
      <c r="G5" s="1" t="n">
        <v>1340.812248615</v>
      </c>
      <c r="H5" s="1" t="n">
        <v>1504.711579683</v>
      </c>
      <c r="I5" s="1" t="n">
        <v>-150.361592722</v>
      </c>
      <c r="J5" s="1" t="n">
        <v>29.342274417</v>
      </c>
      <c r="K5" s="1" t="n">
        <v>7085.71139679415</v>
      </c>
      <c r="L5" s="1" t="n">
        <v>53.6068092346667</v>
      </c>
      <c r="M5" s="1" t="n">
        <v>75.0244</v>
      </c>
      <c r="N5" s="1" t="n">
        <v>49.3767791290173</v>
      </c>
      <c r="O5" s="1" t="n">
        <v>27.0269020994131</v>
      </c>
      <c r="P5" s="1" t="n">
        <v>33.4257813080598</v>
      </c>
      <c r="Q5" s="1" t="n">
        <v>76.6855083862008</v>
      </c>
      <c r="R5" s="1" t="n">
        <v>26.452272547951</v>
      </c>
      <c r="S5" s="1" t="n">
        <v>30.760458929543</v>
      </c>
      <c r="T5" s="1" t="n">
        <v>71.0547600603404</v>
      </c>
      <c r="V5" s="1" t="n">
        <v>27.2297966572891</v>
      </c>
      <c r="W5" s="1" t="n">
        <v>74.91426</v>
      </c>
      <c r="X5" s="1" t="n">
        <v>1425.825381229</v>
      </c>
      <c r="Y5" s="1" t="n">
        <v>1455.036675668</v>
      </c>
      <c r="Z5" s="1" t="n">
        <v>228.546111385</v>
      </c>
      <c r="AA5" s="1" t="n">
        <v>400.958393244</v>
      </c>
      <c r="AB5" s="1" t="n">
        <v>1646.955915694</v>
      </c>
      <c r="AC5" s="1" t="n">
        <v>1863.934769599</v>
      </c>
      <c r="AD5" s="1" t="n">
        <v>16.271344995</v>
      </c>
      <c r="AE5" s="1" t="n">
        <v>368.909230147</v>
      </c>
      <c r="AF5" s="1" t="n">
        <v>457.104689566</v>
      </c>
      <c r="AG5" s="1" t="n">
        <v>14.648272139225</v>
      </c>
      <c r="AH5" s="1" t="n">
        <v>8.0124</v>
      </c>
      <c r="AI5" s="1" t="n">
        <v>2</v>
      </c>
      <c r="AJ5" s="1" t="n">
        <v>1629.194745986</v>
      </c>
      <c r="AK5" s="1" t="n">
        <v>423.035551103</v>
      </c>
      <c r="AL5" s="1" t="n">
        <v>1185.449640636</v>
      </c>
      <c r="AM5" s="1" t="n">
        <v>761.006830029</v>
      </c>
      <c r="AO5" s="3" t="n">
        <f aca="false">D5/K5</f>
        <v>0.233869465776259</v>
      </c>
      <c r="AP5" s="3" t="n">
        <f aca="false">(1+D5/K5)</f>
        <v>1.23386946577626</v>
      </c>
      <c r="AQ5" s="3" t="n">
        <f aca="false">LN(AO5)</f>
        <v>-1.45299215783725</v>
      </c>
      <c r="AR5" s="3" t="n">
        <f aca="false">LN(AP5)</f>
        <v>0.210155138507286</v>
      </c>
    </row>
    <row r="6" s="19" customFormat="true" ht="15" hidden="false" customHeight="false" outlineLevel="0" collapsed="false">
      <c r="A6" s="18" t="n">
        <v>37681</v>
      </c>
      <c r="B6" s="19" t="n">
        <v>63.8287355743333</v>
      </c>
      <c r="C6" s="19" t="n">
        <v>183.326844973</v>
      </c>
      <c r="D6" s="19" t="n">
        <v>1522.465485569</v>
      </c>
      <c r="E6" s="19" t="n">
        <v>1660.054216513</v>
      </c>
      <c r="F6" s="19" t="n">
        <v>129.039392722</v>
      </c>
      <c r="G6" s="19" t="n">
        <v>1578.27387266</v>
      </c>
      <c r="H6" s="19" t="n">
        <v>1558.140961378</v>
      </c>
      <c r="I6" s="19" t="n">
        <v>23.470857657</v>
      </c>
      <c r="J6" s="19" t="n">
        <v>34.2202867343333</v>
      </c>
      <c r="K6" s="19" t="n">
        <v>7561.47560008874</v>
      </c>
      <c r="L6" s="19" t="n">
        <v>55.362587484</v>
      </c>
      <c r="M6" s="19" t="n">
        <v>75.3912</v>
      </c>
      <c r="N6" s="19" t="n">
        <v>51.7934803109956</v>
      </c>
      <c r="O6" s="19" t="n">
        <v>28.349709042292</v>
      </c>
      <c r="P6" s="19" t="n">
        <v>34.5205724488294</v>
      </c>
      <c r="Q6" s="19" t="n">
        <v>77.3910073671071</v>
      </c>
      <c r="R6" s="19" t="n">
        <v>27.746954774299</v>
      </c>
      <c r="S6" s="19" t="n">
        <v>31.7679530434936</v>
      </c>
      <c r="T6" s="19" t="n">
        <v>71.7084567217572</v>
      </c>
      <c r="V6" s="19" t="n">
        <v>27.7074818668918</v>
      </c>
      <c r="W6" s="19" t="n">
        <v>75.48714</v>
      </c>
      <c r="X6" s="19" t="n">
        <v>1631.450109753</v>
      </c>
      <c r="Y6" s="19" t="n">
        <v>1614.147234539</v>
      </c>
      <c r="Z6" s="19" t="n">
        <v>217.886132719</v>
      </c>
      <c r="AA6" s="19" t="n">
        <v>412.940382187</v>
      </c>
      <c r="AB6" s="19" t="n">
        <v>1847.270375705</v>
      </c>
      <c r="AC6" s="19" t="n">
        <v>2006.533910456</v>
      </c>
      <c r="AD6" s="19" t="n">
        <v>15.50824543</v>
      </c>
      <c r="AE6" s="19" t="n">
        <v>379.03435103</v>
      </c>
      <c r="AF6" s="19" t="n">
        <v>436.566272332</v>
      </c>
      <c r="AG6" s="19" t="n">
        <v>0.731627185524649</v>
      </c>
      <c r="AH6" s="19" t="n">
        <v>38.4813062128889</v>
      </c>
      <c r="AI6" s="19" t="n">
        <v>2.25</v>
      </c>
      <c r="AJ6" s="19" t="n">
        <v>1693.950003648</v>
      </c>
      <c r="AK6" s="19" t="n">
        <v>547.110309579</v>
      </c>
      <c r="AL6" s="19" t="n">
        <v>1246.942297076</v>
      </c>
      <c r="AM6" s="19" t="n">
        <v>788.478129733</v>
      </c>
      <c r="AO6" s="21" t="n">
        <f aca="false">D6/K6</f>
        <v>0.20134502391982</v>
      </c>
      <c r="AP6" s="21" t="n">
        <f aca="false">(1+D6/K6)</f>
        <v>1.20134502391982</v>
      </c>
      <c r="AQ6" s="21" t="n">
        <f aca="false">LN(AO6)</f>
        <v>-1.60273530557427</v>
      </c>
      <c r="AR6" s="21" t="n">
        <f aca="false">LN(AP6)</f>
        <v>0.183441782373435</v>
      </c>
      <c r="AS6" s="1"/>
    </row>
    <row r="7" customFormat="false" ht="15" hidden="false" customHeight="false" outlineLevel="0" collapsed="false">
      <c r="A7" s="5" t="n">
        <v>37773</v>
      </c>
      <c r="B7" s="1" t="n">
        <v>64.6333072776667</v>
      </c>
      <c r="C7" s="1" t="n">
        <v>183.128225779</v>
      </c>
      <c r="D7" s="1" t="n">
        <v>1582.531107377</v>
      </c>
      <c r="E7" s="1" t="n">
        <v>1629.444204746</v>
      </c>
      <c r="F7" s="1" t="n">
        <v>-22.178987085</v>
      </c>
      <c r="G7" s="1" t="n">
        <v>1398.053426663</v>
      </c>
      <c r="H7" s="1" t="n">
        <v>1518.039896111</v>
      </c>
      <c r="I7" s="1" t="n">
        <v>-124.022109163</v>
      </c>
      <c r="J7" s="1" t="n">
        <v>29.117719642</v>
      </c>
      <c r="K7" s="1" t="n">
        <v>7533.33933692988</v>
      </c>
      <c r="L7" s="1" t="n">
        <v>56.0604419996667</v>
      </c>
      <c r="M7" s="1" t="n">
        <v>75.65644</v>
      </c>
      <c r="N7" s="1" t="n">
        <v>52.1029281181452</v>
      </c>
      <c r="O7" s="1" t="n">
        <v>28.5190885712171</v>
      </c>
      <c r="P7" s="1" t="n">
        <v>34.9557099386337</v>
      </c>
      <c r="Q7" s="1" t="n">
        <v>77.3071607296527</v>
      </c>
      <c r="R7" s="1" t="n">
        <v>27.9127330587168</v>
      </c>
      <c r="S7" s="1" t="n">
        <v>32.1683933132504</v>
      </c>
      <c r="T7" s="1" t="n">
        <v>71.6307666492577</v>
      </c>
      <c r="V7" s="1" t="n">
        <v>28.7020615802947</v>
      </c>
      <c r="W7" s="1" t="n">
        <v>75.56216</v>
      </c>
      <c r="X7" s="1" t="n">
        <v>1431.2781805</v>
      </c>
      <c r="Y7" s="1" t="n">
        <v>1530.519144278</v>
      </c>
      <c r="Z7" s="1" t="n">
        <v>216.926264884</v>
      </c>
      <c r="AA7" s="1" t="n">
        <v>405.989375649</v>
      </c>
      <c r="AB7" s="1" t="n">
        <v>1657.801822678</v>
      </c>
      <c r="AC7" s="1" t="n">
        <v>1954.275968839</v>
      </c>
      <c r="AD7" s="1" t="n">
        <v>14.860807652</v>
      </c>
      <c r="AE7" s="1" t="n">
        <v>400.463879073</v>
      </c>
      <c r="AF7" s="1" t="n">
        <v>432.558778155</v>
      </c>
      <c r="AG7" s="1" t="n">
        <v>1.22753403044902</v>
      </c>
      <c r="AH7" s="1" t="n">
        <v>17.3314808924802</v>
      </c>
      <c r="AI7" s="1" t="n">
        <v>2.25</v>
      </c>
      <c r="AJ7" s="1" t="n">
        <v>1651.748091148</v>
      </c>
      <c r="AK7" s="1" t="n">
        <v>319.339897564</v>
      </c>
      <c r="AL7" s="1" t="n">
        <v>1254.652999142</v>
      </c>
      <c r="AM7" s="1" t="n">
        <v>762.044776943</v>
      </c>
      <c r="AO7" s="3" t="n">
        <f aca="false">D7/K7</f>
        <v>0.210070333566301</v>
      </c>
      <c r="AP7" s="3" t="n">
        <f aca="false">(1+D7/K7)</f>
        <v>1.2100703335663</v>
      </c>
      <c r="AQ7" s="3" t="n">
        <f aca="false">LN(AO7)</f>
        <v>-1.56031288259414</v>
      </c>
      <c r="AR7" s="3" t="n">
        <f aca="false">LN(AP7)</f>
        <v>0.190678484833645</v>
      </c>
    </row>
    <row r="8" customFormat="false" ht="15" hidden="false" customHeight="false" outlineLevel="0" collapsed="false">
      <c r="A8" s="5" t="n">
        <v>37865</v>
      </c>
      <c r="B8" s="1" t="n">
        <v>65.3715583566667</v>
      </c>
      <c r="C8" s="1" t="n">
        <v>184.233688943333</v>
      </c>
      <c r="D8" s="1" t="n">
        <v>1809.838935636</v>
      </c>
      <c r="E8" s="1" t="n">
        <v>1823.331949692</v>
      </c>
      <c r="F8" s="1" t="n">
        <v>-15.561742255</v>
      </c>
      <c r="G8" s="1" t="n">
        <v>1518.801147408</v>
      </c>
      <c r="H8" s="1" t="n">
        <v>1563.724031685</v>
      </c>
      <c r="I8" s="1" t="n">
        <v>-69.908429088</v>
      </c>
      <c r="J8" s="1" t="n">
        <v>28.4453046186667</v>
      </c>
      <c r="K8" s="1" t="n">
        <v>7821.0841984872</v>
      </c>
      <c r="L8" s="1" t="n">
        <v>56.7007725596667</v>
      </c>
      <c r="M8" s="1" t="n">
        <v>76.08929</v>
      </c>
      <c r="N8" s="1" t="n">
        <v>53.3420823904833</v>
      </c>
      <c r="O8" s="1" t="n">
        <v>29.1973527633193</v>
      </c>
      <c r="P8" s="1" t="n">
        <v>35.3549791647704</v>
      </c>
      <c r="Q8" s="1" t="n">
        <v>77.7738294704341</v>
      </c>
      <c r="R8" s="1" t="n">
        <v>28.5765764101674</v>
      </c>
      <c r="S8" s="1" t="n">
        <v>32.5358254016499</v>
      </c>
      <c r="T8" s="1" t="n">
        <v>72.0631695386914</v>
      </c>
      <c r="V8" s="1" t="n">
        <v>29.7473506213958</v>
      </c>
      <c r="W8" s="1" t="n">
        <v>76.06002</v>
      </c>
      <c r="X8" s="1" t="n">
        <v>1574.07156432</v>
      </c>
      <c r="Y8" s="1" t="n">
        <v>1610.910872001</v>
      </c>
      <c r="Z8" s="1" t="n">
        <v>219.730843235</v>
      </c>
      <c r="AA8" s="1" t="n">
        <v>409.195122087</v>
      </c>
      <c r="AB8" s="1" t="n">
        <v>1792.643808402</v>
      </c>
      <c r="AC8" s="1" t="n">
        <v>2009.581826328</v>
      </c>
      <c r="AD8" s="1" t="n">
        <v>15.372043842</v>
      </c>
      <c r="AE8" s="1" t="n">
        <v>380.679361789</v>
      </c>
      <c r="AF8" s="1" t="n">
        <v>445.049447818</v>
      </c>
      <c r="AG8" s="1" t="n">
        <v>18.8659246937745</v>
      </c>
      <c r="AH8" s="1" t="n">
        <v>6.09760305581659</v>
      </c>
      <c r="AI8" s="1" t="n">
        <v>2.25</v>
      </c>
      <c r="AJ8" s="1" t="n">
        <v>1761.099630433</v>
      </c>
      <c r="AK8" s="1" t="n">
        <v>421.087590299</v>
      </c>
      <c r="AL8" s="1" t="n">
        <v>1307.49512247</v>
      </c>
      <c r="AM8" s="1" t="n">
        <v>788.784912608</v>
      </c>
      <c r="AO8" s="3" t="n">
        <f aca="false">D8/K8</f>
        <v>0.23140512104269</v>
      </c>
      <c r="AP8" s="3" t="n">
        <f aca="false">(1+D8/K8)</f>
        <v>1.23140512104269</v>
      </c>
      <c r="AQ8" s="3" t="n">
        <f aca="false">LN(AO8)</f>
        <v>-1.46358533377302</v>
      </c>
      <c r="AR8" s="3" t="n">
        <f aca="false">LN(AP8)</f>
        <v>0.208155892202169</v>
      </c>
    </row>
    <row r="9" customFormat="false" ht="15" hidden="false" customHeight="false" outlineLevel="0" collapsed="false">
      <c r="A9" s="5" t="n">
        <v>37956</v>
      </c>
      <c r="B9" s="1" t="n">
        <v>65.7864311476667</v>
      </c>
      <c r="C9" s="1" t="n">
        <v>185.116832075333</v>
      </c>
      <c r="D9" s="1" t="n">
        <v>1689.662668532</v>
      </c>
      <c r="E9" s="1" t="n">
        <v>1772.929781624</v>
      </c>
      <c r="F9" s="1" t="n">
        <v>250.498751049</v>
      </c>
      <c r="G9" s="1" t="n">
        <v>1741.353268444</v>
      </c>
      <c r="H9" s="1" t="n">
        <v>1603.914816385</v>
      </c>
      <c r="I9" s="1" t="n">
        <v>180.888731583</v>
      </c>
      <c r="J9" s="1" t="n">
        <v>32.5009186753333</v>
      </c>
      <c r="K9" s="1" t="n">
        <v>8049.3086033906</v>
      </c>
      <c r="L9" s="1" t="n">
        <v>57.0606172436667</v>
      </c>
      <c r="M9" s="1" t="n">
        <v>76.55272</v>
      </c>
      <c r="N9" s="1" t="n">
        <v>53.8239332719311</v>
      </c>
      <c r="O9" s="1" t="n">
        <v>29.4610989377179</v>
      </c>
      <c r="P9" s="1" t="n">
        <v>35.579355319333</v>
      </c>
      <c r="Q9" s="1" t="n">
        <v>78.146646319188</v>
      </c>
      <c r="R9" s="1" t="n">
        <v>28.8347149738478</v>
      </c>
      <c r="S9" s="1" t="n">
        <v>32.7423101334078</v>
      </c>
      <c r="T9" s="1" t="n">
        <v>72.408611751857</v>
      </c>
      <c r="V9" s="1" t="n">
        <v>30.4562701134594</v>
      </c>
      <c r="W9" s="1" t="n">
        <v>76.43316</v>
      </c>
      <c r="X9" s="1" t="n">
        <v>1822.187697084</v>
      </c>
      <c r="Y9" s="1" t="n">
        <v>1611.79875024</v>
      </c>
      <c r="Z9" s="1" t="n">
        <v>226.88412338</v>
      </c>
      <c r="AA9" s="1" t="n">
        <v>395.31806792</v>
      </c>
      <c r="AB9" s="1" t="n">
        <v>2040.292938221</v>
      </c>
      <c r="AC9" s="1" t="n">
        <v>2017.477501089</v>
      </c>
      <c r="AD9" s="1" t="n">
        <v>16.769304764</v>
      </c>
      <c r="AE9" s="1" t="n">
        <v>391.51653475</v>
      </c>
      <c r="AF9" s="1" t="n">
        <v>475.564154239</v>
      </c>
      <c r="AG9" s="1" t="n">
        <v>1.02639005</v>
      </c>
      <c r="AH9" s="1" t="n">
        <v>7.69148742708751</v>
      </c>
      <c r="AI9" s="1" t="n">
        <v>2.25</v>
      </c>
      <c r="AJ9" s="1" t="n">
        <v>1804.549476374</v>
      </c>
      <c r="AK9" s="1" t="n">
        <v>312.224976254</v>
      </c>
      <c r="AL9" s="1" t="n">
        <v>1343.955206133</v>
      </c>
      <c r="AM9" s="1" t="n">
        <v>829.720798375</v>
      </c>
      <c r="AO9" s="3" t="n">
        <f aca="false">D9/K9</f>
        <v>0.209914012716603</v>
      </c>
      <c r="AP9" s="3" t="n">
        <f aca="false">(1+D9/K9)</f>
        <v>1.2099140127166</v>
      </c>
      <c r="AQ9" s="3" t="n">
        <f aca="false">LN(AO9)</f>
        <v>-1.56105729537191</v>
      </c>
      <c r="AR9" s="3" t="n">
        <f aca="false">LN(AP9)</f>
        <v>0.190549293212918</v>
      </c>
    </row>
    <row r="10" customFormat="false" ht="15" hidden="false" customHeight="false" outlineLevel="0" collapsed="false">
      <c r="A10" s="5" t="n">
        <v>38047</v>
      </c>
      <c r="B10" s="1" t="n">
        <v>66.3265336716667</v>
      </c>
      <c r="C10" s="1" t="n">
        <v>186.712854747667</v>
      </c>
      <c r="D10" s="1" t="n">
        <v>1787.527259417</v>
      </c>
      <c r="E10" s="1" t="n">
        <v>1918.760832322</v>
      </c>
      <c r="F10" s="1" t="n">
        <v>118.212208241</v>
      </c>
      <c r="G10" s="1" t="n">
        <v>1739.488222793</v>
      </c>
      <c r="H10" s="1" t="n">
        <v>1660.724825644</v>
      </c>
      <c r="I10" s="1" t="n">
        <v>67.673951507</v>
      </c>
      <c r="J10" s="1" t="n">
        <v>36.038825448</v>
      </c>
      <c r="K10" s="1" t="n">
        <v>8396.49218674199</v>
      </c>
      <c r="L10" s="1" t="n">
        <v>57.529081375</v>
      </c>
      <c r="M10" s="1" t="n">
        <v>77.09897</v>
      </c>
      <c r="N10" s="1" t="n">
        <v>55.0064758523352</v>
      </c>
      <c r="O10" s="1" t="n">
        <v>30.1083761217047</v>
      </c>
      <c r="P10" s="1" t="n">
        <v>35.8714596222268</v>
      </c>
      <c r="Q10" s="1" t="n">
        <v>78.8204036317671</v>
      </c>
      <c r="R10" s="1" t="n">
        <v>29.4682301440996</v>
      </c>
      <c r="S10" s="1" t="n">
        <v>33.0111224710911</v>
      </c>
      <c r="T10" s="1" t="n">
        <v>73.0328974244917</v>
      </c>
      <c r="V10" s="1" t="n">
        <v>31.5136279570113</v>
      </c>
      <c r="W10" s="1" t="n">
        <v>77.0226</v>
      </c>
      <c r="X10" s="1" t="n">
        <v>1783.146197768</v>
      </c>
      <c r="Y10" s="1" t="n">
        <v>1688.940369266</v>
      </c>
      <c r="Z10" s="1" t="n">
        <v>241.621657095</v>
      </c>
      <c r="AA10" s="1" t="n">
        <v>465.178509552</v>
      </c>
      <c r="AB10" s="1" t="n">
        <v>2023.492143199</v>
      </c>
      <c r="AC10" s="1" t="n">
        <v>2139.587269223</v>
      </c>
      <c r="AD10" s="1" t="n">
        <v>17.697735028</v>
      </c>
      <c r="AE10" s="1" t="n">
        <v>435.571341572</v>
      </c>
      <c r="AF10" s="1" t="n">
        <v>486.6556728</v>
      </c>
      <c r="AG10" s="1" t="n">
        <v>1.1218982</v>
      </c>
      <c r="AH10" s="1" t="n">
        <v>5.39678880622222</v>
      </c>
      <c r="AI10" s="1" t="n">
        <v>2.5</v>
      </c>
      <c r="AJ10" s="1" t="n">
        <v>1950.528651805</v>
      </c>
      <c r="AK10" s="1" t="n">
        <v>291.08008535</v>
      </c>
      <c r="AL10" s="1" t="n">
        <v>1410.390105553</v>
      </c>
      <c r="AM10" s="1" t="n">
        <v>862.965798302</v>
      </c>
      <c r="AO10" s="3" t="n">
        <f aca="false">D10/K10</f>
        <v>0.212889766304969</v>
      </c>
      <c r="AP10" s="3" t="n">
        <f aca="false">(1+D10/K10)</f>
        <v>1.21288976630497</v>
      </c>
      <c r="AQ10" s="3" t="n">
        <f aca="false">LN(AO10)</f>
        <v>-1.54698077632176</v>
      </c>
      <c r="AR10" s="3" t="n">
        <f aca="false">LN(AP10)</f>
        <v>0.193005748919717</v>
      </c>
    </row>
    <row r="11" customFormat="false" ht="15" hidden="false" customHeight="false" outlineLevel="0" collapsed="false">
      <c r="A11" s="5" t="n">
        <v>38139</v>
      </c>
      <c r="B11" s="1" t="n">
        <v>66.7160085983333</v>
      </c>
      <c r="C11" s="1" t="n">
        <v>188.316221221667</v>
      </c>
      <c r="D11" s="1" t="n">
        <v>1925.230488125</v>
      </c>
      <c r="E11" s="1" t="n">
        <v>1936.344153551</v>
      </c>
      <c r="F11" s="1" t="n">
        <v>-74.062392787</v>
      </c>
      <c r="G11" s="1" t="n">
        <v>1932.157240189</v>
      </c>
      <c r="H11" s="1" t="n">
        <v>1832.024352379</v>
      </c>
      <c r="I11" s="1" t="n">
        <v>93.511675951</v>
      </c>
      <c r="J11" s="1" t="n">
        <v>38.1157484706667</v>
      </c>
      <c r="K11" s="1" t="n">
        <v>8671.45616599048</v>
      </c>
      <c r="L11" s="1" t="n">
        <v>57.86689693</v>
      </c>
      <c r="M11" s="1" t="n">
        <v>77.72114</v>
      </c>
      <c r="N11" s="1" t="n">
        <v>55.7541176677611</v>
      </c>
      <c r="O11" s="1" t="n">
        <v>30.5176057739294</v>
      </c>
      <c r="P11" s="1" t="n">
        <v>36.0820998190288</v>
      </c>
      <c r="Q11" s="1" t="n">
        <v>79.4972611133857</v>
      </c>
      <c r="R11" s="1" t="n">
        <v>29.8687590044009</v>
      </c>
      <c r="S11" s="1" t="n">
        <v>33.2049665300503</v>
      </c>
      <c r="T11" s="1" t="n">
        <v>73.6600556316101</v>
      </c>
      <c r="V11" s="1" t="n">
        <v>32.4956519815129</v>
      </c>
      <c r="W11" s="1" t="n">
        <v>77.53995</v>
      </c>
      <c r="X11" s="1" t="n">
        <v>1964.860273188</v>
      </c>
      <c r="Y11" s="1" t="n">
        <v>1819.06341155</v>
      </c>
      <c r="Z11" s="1" t="n">
        <v>255.456848399</v>
      </c>
      <c r="AA11" s="1" t="n">
        <v>481.247548491</v>
      </c>
      <c r="AB11" s="1" t="n">
        <v>2231.006036177</v>
      </c>
      <c r="AC11" s="1" t="n">
        <v>2317.320159137</v>
      </c>
      <c r="AD11" s="1" t="n">
        <v>22.391706651</v>
      </c>
      <c r="AE11" s="1" t="n">
        <v>476.605435161</v>
      </c>
      <c r="AF11" s="1" t="n">
        <v>498.316219499</v>
      </c>
      <c r="AG11" s="1" t="n">
        <v>2.770922088</v>
      </c>
      <c r="AH11" s="1" t="n">
        <v>5.61655011489614</v>
      </c>
      <c r="AI11" s="1" t="n">
        <v>2.5</v>
      </c>
      <c r="AJ11" s="1" t="n">
        <v>1951.213519718</v>
      </c>
      <c r="AK11" s="1" t="n">
        <v>492.016187163</v>
      </c>
      <c r="AL11" s="1" t="n">
        <v>1381.087083079</v>
      </c>
      <c r="AM11" s="1" t="n">
        <v>860.728803386</v>
      </c>
      <c r="AO11" s="3" t="n">
        <f aca="false">D11/K11</f>
        <v>0.222019283874809</v>
      </c>
      <c r="AP11" s="3" t="n">
        <f aca="false">(1+D11/K11)</f>
        <v>1.22201928387481</v>
      </c>
      <c r="AQ11" s="3" t="n">
        <f aca="false">LN(AO11)</f>
        <v>-1.5049910365814</v>
      </c>
      <c r="AR11" s="3" t="n">
        <f aca="false">LN(AP11)</f>
        <v>0.200504641209841</v>
      </c>
    </row>
    <row r="12" customFormat="false" ht="15" hidden="false" customHeight="false" outlineLevel="0" collapsed="false">
      <c r="A12" s="5" t="n">
        <v>38231</v>
      </c>
      <c r="B12" s="1" t="n">
        <v>66.6408673523333</v>
      </c>
      <c r="C12" s="1" t="n">
        <v>189.162261457333</v>
      </c>
      <c r="D12" s="1" t="n">
        <v>1870.236425254</v>
      </c>
      <c r="E12" s="1" t="n">
        <v>2135.484942472</v>
      </c>
      <c r="F12" s="1" t="n">
        <v>282.152730383</v>
      </c>
      <c r="G12" s="1" t="n">
        <v>2002.396319513</v>
      </c>
      <c r="H12" s="1" t="n">
        <v>1896.695207895</v>
      </c>
      <c r="I12" s="1" t="n">
        <v>92.091341931</v>
      </c>
      <c r="J12" s="1" t="n">
        <v>41.4824427493333</v>
      </c>
      <c r="K12" s="1" t="n">
        <v>8973.91614599789</v>
      </c>
      <c r="L12" s="1" t="n">
        <v>57.801722307</v>
      </c>
      <c r="M12" s="1" t="n">
        <v>78.21414</v>
      </c>
      <c r="N12" s="1" t="n">
        <v>56.7788152679827</v>
      </c>
      <c r="O12" s="1" t="n">
        <v>31.0784848391744</v>
      </c>
      <c r="P12" s="1" t="n">
        <v>36.0414610878508</v>
      </c>
      <c r="Q12" s="1" t="n">
        <v>79.8544150595031</v>
      </c>
      <c r="R12" s="1" t="n">
        <v>30.417713000154</v>
      </c>
      <c r="S12" s="1" t="n">
        <v>33.1675682712085</v>
      </c>
      <c r="T12" s="1" t="n">
        <v>73.9909850142278</v>
      </c>
      <c r="V12" s="1" t="n">
        <v>32.5671240839425</v>
      </c>
      <c r="W12" s="1" t="n">
        <v>77.92186</v>
      </c>
      <c r="X12" s="1" t="n">
        <v>2063.573536858</v>
      </c>
      <c r="Y12" s="1" t="n">
        <v>1953.242033908</v>
      </c>
      <c r="Z12" s="1" t="n">
        <v>257.607098349</v>
      </c>
      <c r="AA12" s="1" t="n">
        <v>506.984101891</v>
      </c>
      <c r="AB12" s="1" t="n">
        <v>2319.054072177</v>
      </c>
      <c r="AC12" s="1" t="n">
        <v>2445.980052321</v>
      </c>
      <c r="AD12" s="1" t="n">
        <v>26.82427402</v>
      </c>
      <c r="AE12" s="1" t="n">
        <v>443.538953113</v>
      </c>
      <c r="AF12" s="1" t="n">
        <v>509.147816829</v>
      </c>
      <c r="AG12" s="1" t="n">
        <v>13.8792815364334</v>
      </c>
      <c r="AH12" s="1" t="n">
        <v>6.01451958425331</v>
      </c>
      <c r="AI12" s="1" t="n">
        <v>2.5</v>
      </c>
      <c r="AJ12" s="1" t="n">
        <v>2089.425739338</v>
      </c>
      <c r="AK12" s="1" t="n">
        <v>488.893126348</v>
      </c>
      <c r="AL12" s="1" t="n">
        <v>1492.999929405</v>
      </c>
      <c r="AM12" s="1" t="n">
        <v>900.560953082</v>
      </c>
      <c r="AO12" s="3" t="n">
        <f aca="false">D12/K12</f>
        <v>0.208408056730959</v>
      </c>
      <c r="AP12" s="3" t="n">
        <f aca="false">(1+D12/K12)</f>
        <v>1.20840805673096</v>
      </c>
      <c r="AQ12" s="3" t="n">
        <f aca="false">LN(AO12)</f>
        <v>-1.56825730991278</v>
      </c>
      <c r="AR12" s="3" t="n">
        <f aca="false">LN(AP12)</f>
        <v>0.189303837779719</v>
      </c>
    </row>
    <row r="13" customFormat="false" ht="15" hidden="false" customHeight="false" outlineLevel="0" collapsed="false">
      <c r="A13" s="5" t="n">
        <v>38322</v>
      </c>
      <c r="B13" s="1" t="n">
        <v>67.0579852426667</v>
      </c>
      <c r="C13" s="1" t="n">
        <v>191.299575175</v>
      </c>
      <c r="D13" s="1" t="n">
        <v>1875.738615499</v>
      </c>
      <c r="E13" s="1" t="n">
        <v>2197.475290207</v>
      </c>
      <c r="F13" s="1" t="n">
        <v>399.840558661</v>
      </c>
      <c r="G13" s="1" t="n">
        <v>2071.699403947</v>
      </c>
      <c r="H13" s="1" t="n">
        <v>2113.537959206</v>
      </c>
      <c r="I13" s="1" t="n">
        <v>-14.101187328</v>
      </c>
      <c r="J13" s="1" t="n">
        <v>49.8275481886667</v>
      </c>
      <c r="K13" s="1" t="n">
        <v>9153.08306945197</v>
      </c>
      <c r="L13" s="1" t="n">
        <v>58.163514304</v>
      </c>
      <c r="M13" s="1" t="n">
        <v>78.82054</v>
      </c>
      <c r="N13" s="1" t="n">
        <v>56.989000867665</v>
      </c>
      <c r="O13" s="1" t="n">
        <v>31.1935321493782</v>
      </c>
      <c r="P13" s="1" t="n">
        <v>36.2670514622079</v>
      </c>
      <c r="Q13" s="1" t="n">
        <v>80.7566771460737</v>
      </c>
      <c r="R13" s="1" t="n">
        <v>30.5303142444337</v>
      </c>
      <c r="S13" s="1" t="n">
        <v>33.3751704026698</v>
      </c>
      <c r="T13" s="1" t="n">
        <v>74.8269971555303</v>
      </c>
      <c r="V13" s="1" t="n">
        <v>33.1425844286958</v>
      </c>
      <c r="W13" s="1" t="n">
        <v>78.5873</v>
      </c>
      <c r="X13" s="1" t="n">
        <v>2150.919529001</v>
      </c>
      <c r="Y13" s="1" t="n">
        <v>2192.079120546</v>
      </c>
      <c r="Z13" s="1" t="n">
        <v>259.339527252</v>
      </c>
      <c r="AA13" s="1" t="n">
        <v>512.078882349</v>
      </c>
      <c r="AB13" s="1" t="n">
        <v>2402.282552083</v>
      </c>
      <c r="AC13" s="1" t="n">
        <v>2716.785162353</v>
      </c>
      <c r="AD13" s="1" t="n">
        <v>32.454477849</v>
      </c>
      <c r="AE13" s="1" t="n">
        <v>580.098021358</v>
      </c>
      <c r="AF13" s="1" t="n">
        <v>552.956475098</v>
      </c>
      <c r="AG13" s="1" t="n">
        <v>0.705151477739197</v>
      </c>
      <c r="AH13" s="1" t="n">
        <v>6.82269071647779</v>
      </c>
      <c r="AI13" s="1" t="n">
        <v>2.5</v>
      </c>
      <c r="AJ13" s="1" t="n">
        <v>2190.681851199</v>
      </c>
      <c r="AK13" s="1" t="n">
        <v>651.372995755</v>
      </c>
      <c r="AL13" s="1" t="n">
        <v>1539.245851171</v>
      </c>
      <c r="AM13" s="1" t="n">
        <v>978.502996848</v>
      </c>
      <c r="AO13" s="3" t="n">
        <f aca="false">D13/K13</f>
        <v>0.204929705244258</v>
      </c>
      <c r="AP13" s="3" t="n">
        <f aca="false">(1+D13/K13)</f>
        <v>1.20492970524426</v>
      </c>
      <c r="AQ13" s="3" t="n">
        <f aca="false">LN(AO13)</f>
        <v>-1.58508825989533</v>
      </c>
      <c r="AR13" s="3" t="n">
        <f aca="false">LN(AP13)</f>
        <v>0.186421229344132</v>
      </c>
    </row>
    <row r="14" customFormat="false" ht="15" hidden="false" customHeight="false" outlineLevel="0" collapsed="false">
      <c r="A14" s="5" t="n">
        <v>38412</v>
      </c>
      <c r="B14" s="1" t="n">
        <v>67.2275542226667</v>
      </c>
      <c r="C14" s="1" t="n">
        <v>192.551429622333</v>
      </c>
      <c r="D14" s="1" t="n">
        <v>2148.342049815</v>
      </c>
      <c r="E14" s="1" t="n">
        <v>2129.924841759</v>
      </c>
      <c r="F14" s="1" t="n">
        <v>-53.038595272</v>
      </c>
      <c r="G14" s="1" t="n">
        <v>2294.531774874</v>
      </c>
      <c r="H14" s="1" t="n">
        <v>2297.297763243</v>
      </c>
      <c r="I14" s="1" t="n">
        <v>43.667282602</v>
      </c>
      <c r="J14" s="1" t="n">
        <v>51.6888967676667</v>
      </c>
      <c r="K14" s="1" t="n">
        <v>9489.15220608849</v>
      </c>
      <c r="L14" s="1" t="n">
        <v>58.310591907</v>
      </c>
      <c r="M14" s="1" t="n">
        <v>79.4506</v>
      </c>
      <c r="N14" s="1" t="n">
        <v>58.2498695396114</v>
      </c>
      <c r="O14" s="1" t="n">
        <v>31.8836819476847</v>
      </c>
      <c r="P14" s="1" t="n">
        <v>36.3587596592526</v>
      </c>
      <c r="Q14" s="1" t="n">
        <v>81.2851446314024</v>
      </c>
      <c r="R14" s="1" t="n">
        <v>31.2057904975597</v>
      </c>
      <c r="S14" s="1" t="n">
        <v>33.4595659236808</v>
      </c>
      <c r="T14" s="1" t="n">
        <v>75.3166611241202</v>
      </c>
      <c r="V14" s="1" t="n">
        <v>34.0300778215865</v>
      </c>
      <c r="W14" s="1" t="n">
        <v>79.04423</v>
      </c>
      <c r="X14" s="1" t="n">
        <v>2365.007473358</v>
      </c>
      <c r="Y14" s="1" t="n">
        <v>2337.73435362</v>
      </c>
      <c r="Z14" s="1" t="n">
        <v>264.868985726</v>
      </c>
      <c r="AA14" s="1" t="n">
        <v>524.045678953</v>
      </c>
      <c r="AB14" s="1" t="n">
        <v>2629.115859599</v>
      </c>
      <c r="AC14" s="1" t="n">
        <v>2847.404768675</v>
      </c>
      <c r="AD14" s="1" t="n">
        <v>41.35316515</v>
      </c>
      <c r="AE14" s="1" t="n">
        <v>506.85850052</v>
      </c>
      <c r="AF14" s="1" t="n">
        <v>694.003237913</v>
      </c>
      <c r="AG14" s="1" t="n">
        <v>19.2295602133018</v>
      </c>
      <c r="AH14" s="1" t="n">
        <v>7.029</v>
      </c>
      <c r="AI14" s="1" t="n">
        <v>2.5</v>
      </c>
      <c r="AJ14" s="1" t="n">
        <v>2129.852974952</v>
      </c>
      <c r="AK14" s="1" t="n">
        <v>525.1906157</v>
      </c>
      <c r="AL14" s="1" t="n">
        <v>1612.42497444</v>
      </c>
      <c r="AM14" s="1" t="n">
        <v>999.096626228</v>
      </c>
      <c r="AO14" s="3" t="n">
        <f aca="false">D14/K14</f>
        <v>0.226399788216756</v>
      </c>
      <c r="AP14" s="3" t="n">
        <f aca="false">(1+D14/K14)</f>
        <v>1.22639978821676</v>
      </c>
      <c r="AQ14" s="3" t="n">
        <f aca="false">LN(AO14)</f>
        <v>-1.4854528680919</v>
      </c>
      <c r="AR14" s="3" t="n">
        <f aca="false">LN(AP14)</f>
        <v>0.204082875888528</v>
      </c>
    </row>
    <row r="15" customFormat="false" ht="15" hidden="false" customHeight="false" outlineLevel="0" collapsed="false">
      <c r="A15" s="5" t="n">
        <v>38504</v>
      </c>
      <c r="B15" s="1" t="n">
        <v>67.8597678886667</v>
      </c>
      <c r="C15" s="1" t="n">
        <v>193.776535452</v>
      </c>
      <c r="D15" s="1" t="n">
        <v>2008.557038291</v>
      </c>
      <c r="E15" s="1" t="n">
        <v>2259.419177515</v>
      </c>
      <c r="F15" s="1" t="n">
        <v>181.545094828</v>
      </c>
      <c r="G15" s="1" t="n">
        <v>2394.735469127</v>
      </c>
      <c r="H15" s="1" t="n">
        <v>2369.67875519</v>
      </c>
      <c r="I15" s="1" t="n">
        <v>-0.839459179000002</v>
      </c>
      <c r="J15" s="1" t="n">
        <v>52.0303561976667</v>
      </c>
      <c r="K15" s="1" t="n">
        <v>9876.69934029228</v>
      </c>
      <c r="L15" s="1" t="n">
        <v>58.8589496973333</v>
      </c>
      <c r="M15" s="1" t="n">
        <v>80.02248</v>
      </c>
      <c r="N15" s="1" t="n">
        <v>59.8144925191728</v>
      </c>
      <c r="O15" s="1" t="n">
        <v>32.7400948777505</v>
      </c>
      <c r="P15" s="1" t="n">
        <v>36.700680542753</v>
      </c>
      <c r="Q15" s="1" t="n">
        <v>81.8023202490987</v>
      </c>
      <c r="R15" s="1" t="n">
        <v>32.0439948968787</v>
      </c>
      <c r="S15" s="1" t="n">
        <v>33.7742225414914</v>
      </c>
      <c r="T15" s="1" t="n">
        <v>75.7958623473735</v>
      </c>
      <c r="V15" s="1" t="n">
        <v>34.1237493797126</v>
      </c>
      <c r="W15" s="1" t="n">
        <v>79.54404</v>
      </c>
      <c r="X15" s="1" t="n">
        <v>2468.187884499</v>
      </c>
      <c r="Y15" s="1" t="n">
        <v>2408.240719902</v>
      </c>
      <c r="Z15" s="1" t="n">
        <v>247.224384757</v>
      </c>
      <c r="AA15" s="1" t="n">
        <v>528.023817385</v>
      </c>
      <c r="AB15" s="1" t="n">
        <v>2725.881084538</v>
      </c>
      <c r="AC15" s="1" t="n">
        <v>2950.652578133</v>
      </c>
      <c r="AD15" s="1" t="n">
        <v>47.17728773</v>
      </c>
      <c r="AE15" s="1" t="n">
        <v>510.452204226</v>
      </c>
      <c r="AF15" s="1" t="n">
        <v>708.352434817</v>
      </c>
      <c r="AG15" s="1" t="n">
        <v>27.6827296142589</v>
      </c>
      <c r="AH15" s="1" t="n">
        <v>8.476</v>
      </c>
      <c r="AI15" s="1" t="n">
        <v>2.5</v>
      </c>
      <c r="AJ15" s="1" t="n">
        <v>2313.436672648</v>
      </c>
      <c r="AK15" s="1" t="n">
        <v>553.052635407</v>
      </c>
      <c r="AL15" s="1" t="n">
        <v>1672.894445807</v>
      </c>
      <c r="AM15" s="1" t="n">
        <v>1103.664273384</v>
      </c>
      <c r="AO15" s="3" t="n">
        <f aca="false">D15/K15</f>
        <v>0.203363185320123</v>
      </c>
      <c r="AP15" s="3" t="n">
        <f aca="false">(1+D15/K15)</f>
        <v>1.20336318532012</v>
      </c>
      <c r="AQ15" s="3" t="n">
        <f aca="false">LN(AO15)</f>
        <v>-1.59276180820908</v>
      </c>
      <c r="AR15" s="3" t="n">
        <f aca="false">LN(AP15)</f>
        <v>0.185120291114228</v>
      </c>
    </row>
    <row r="16" customFormat="false" ht="15" hidden="false" customHeight="false" outlineLevel="0" collapsed="false">
      <c r="A16" s="5" t="n">
        <v>38596</v>
      </c>
      <c r="B16" s="1" t="n">
        <v>68.377844246</v>
      </c>
      <c r="C16" s="1" t="n">
        <v>196.275522482333</v>
      </c>
      <c r="D16" s="1" t="n">
        <v>2463.824798084</v>
      </c>
      <c r="E16" s="1" t="n">
        <v>2346.305229909</v>
      </c>
      <c r="F16" s="1" t="n">
        <v>-60.396772852</v>
      </c>
      <c r="G16" s="1" t="n">
        <v>2618.744101241</v>
      </c>
      <c r="H16" s="1" t="n">
        <v>2321.90191945</v>
      </c>
      <c r="I16" s="1" t="n">
        <v>275.790588796</v>
      </c>
      <c r="J16" s="1" t="n">
        <v>59.6698529823333</v>
      </c>
      <c r="K16" s="1" t="n">
        <v>10452.4243901554</v>
      </c>
      <c r="L16" s="1" t="n">
        <v>59.3083091813333</v>
      </c>
      <c r="M16" s="1" t="n">
        <v>80.75213</v>
      </c>
      <c r="N16" s="1" t="n">
        <v>63.1850261885077</v>
      </c>
      <c r="O16" s="1" t="n">
        <v>34.5849921171162</v>
      </c>
      <c r="P16" s="1" t="n">
        <v>36.9808724072233</v>
      </c>
      <c r="Q16" s="1" t="n">
        <v>82.8572618955516</v>
      </c>
      <c r="R16" s="1" t="n">
        <v>33.8496670534268</v>
      </c>
      <c r="S16" s="1" t="n">
        <v>34.0320723209773</v>
      </c>
      <c r="T16" s="1" t="n">
        <v>76.7733433231645</v>
      </c>
      <c r="V16" s="1" t="n">
        <v>34.6443398295545</v>
      </c>
      <c r="W16" s="1" t="n">
        <v>80.40335</v>
      </c>
      <c r="X16" s="1" t="n">
        <v>2745.969323347</v>
      </c>
      <c r="Y16" s="1" t="n">
        <v>2350.477643496</v>
      </c>
      <c r="Z16" s="1" t="n">
        <v>248.358641628</v>
      </c>
      <c r="AA16" s="1" t="n">
        <v>526.976627898</v>
      </c>
      <c r="AB16" s="1" t="n">
        <v>2993.256033835</v>
      </c>
      <c r="AC16" s="1" t="n">
        <v>2861.808734694</v>
      </c>
      <c r="AD16" s="1" t="n">
        <v>56.08654174</v>
      </c>
      <c r="AE16" s="1" t="n">
        <v>485.052574874</v>
      </c>
      <c r="AF16" s="1" t="n">
        <v>692.904412808</v>
      </c>
      <c r="AG16" s="1" t="n">
        <v>41.2829031330307</v>
      </c>
      <c r="AH16" s="1" t="n">
        <v>8.218</v>
      </c>
      <c r="AI16" s="1" t="n">
        <v>2.5</v>
      </c>
      <c r="AJ16" s="1" t="n">
        <v>2283.188785148</v>
      </c>
      <c r="AK16" s="1" t="n">
        <v>636.403532017</v>
      </c>
      <c r="AL16" s="1" t="n">
        <v>1757.878344225</v>
      </c>
      <c r="AM16" s="1" t="n">
        <v>1092.392420126</v>
      </c>
      <c r="AO16" s="3" t="n">
        <f aca="false">D16/K16</f>
        <v>0.235718021591675</v>
      </c>
      <c r="AP16" s="3" t="n">
        <f aca="false">(1+D16/K16)</f>
        <v>1.23571802159168</v>
      </c>
      <c r="AQ16" s="3" t="n">
        <f aca="false">LN(AO16)</f>
        <v>-1.44511901209162</v>
      </c>
      <c r="AR16" s="3" t="n">
        <f aca="false">LN(AP16)</f>
        <v>0.211652195137283</v>
      </c>
    </row>
    <row r="17" customFormat="false" ht="15" hidden="false" customHeight="false" outlineLevel="0" collapsed="false">
      <c r="A17" s="5" t="n">
        <v>38687</v>
      </c>
      <c r="B17" s="1" t="n">
        <v>69.064972817</v>
      </c>
      <c r="C17" s="1" t="n">
        <v>198.515566462</v>
      </c>
      <c r="D17" s="1" t="n">
        <v>2238.320633206</v>
      </c>
      <c r="E17" s="1" t="n">
        <v>2442.224588097</v>
      </c>
      <c r="F17" s="1" t="n">
        <v>273.970377074</v>
      </c>
      <c r="G17" s="1" t="n">
        <v>2789.478428322</v>
      </c>
      <c r="H17" s="1" t="n">
        <v>2593.824828795</v>
      </c>
      <c r="I17" s="1" t="n">
        <v>197.571330788</v>
      </c>
      <c r="J17" s="1" t="n">
        <v>62.0225275416667</v>
      </c>
      <c r="K17" s="1" t="n">
        <v>10460.5743159206</v>
      </c>
      <c r="L17" s="1" t="n">
        <v>59.9042980456667</v>
      </c>
      <c r="M17" s="1" t="n">
        <v>81.41571</v>
      </c>
      <c r="N17" s="1" t="n">
        <v>62.5534537545676</v>
      </c>
      <c r="O17" s="1" t="n">
        <v>34.2392942680081</v>
      </c>
      <c r="P17" s="1" t="n">
        <v>37.3524929853756</v>
      </c>
      <c r="Q17" s="1" t="n">
        <v>83.8028913267381</v>
      </c>
      <c r="R17" s="1" t="n">
        <v>33.5113192216919</v>
      </c>
      <c r="S17" s="1" t="n">
        <v>34.3740604237018</v>
      </c>
      <c r="T17" s="1" t="n">
        <v>77.6495384968414</v>
      </c>
      <c r="V17" s="1" t="n">
        <v>35.2340188764199</v>
      </c>
      <c r="W17" s="1" t="n">
        <v>81.04443</v>
      </c>
      <c r="X17" s="1" t="n">
        <v>2886.271343012</v>
      </c>
      <c r="Y17" s="1" t="n">
        <v>2588.34333339</v>
      </c>
      <c r="Z17" s="1" t="n">
        <v>251.625510398</v>
      </c>
      <c r="AA17" s="1" t="n">
        <v>560.271640183</v>
      </c>
      <c r="AB17" s="1" t="n">
        <v>3129.365273108</v>
      </c>
      <c r="AC17" s="1" t="n">
        <v>3160.516505287</v>
      </c>
      <c r="AD17" s="1" t="n">
        <v>67.397350882</v>
      </c>
      <c r="AE17" s="1" t="n">
        <v>520.857594927</v>
      </c>
      <c r="AF17" s="1" t="n">
        <v>688.123513626</v>
      </c>
      <c r="AG17" s="1" t="n">
        <v>32.2154468654002</v>
      </c>
      <c r="AH17" s="1" t="n">
        <v>59.249</v>
      </c>
      <c r="AI17" s="1" t="n">
        <v>2.5</v>
      </c>
      <c r="AJ17" s="1" t="n">
        <v>2421.090862706</v>
      </c>
      <c r="AK17" s="1" t="n">
        <v>715.676220788</v>
      </c>
      <c r="AL17" s="1" t="n">
        <v>1818.94138796</v>
      </c>
      <c r="AM17" s="1" t="n">
        <v>1076.477102365</v>
      </c>
      <c r="AO17" s="3" t="n">
        <f aca="false">D17/K17</f>
        <v>0.213976839665425</v>
      </c>
      <c r="AP17" s="3" t="n">
        <f aca="false">(1+D17/K17)</f>
        <v>1.21397683966542</v>
      </c>
      <c r="AQ17" s="3" t="n">
        <f aca="false">LN(AO17)</f>
        <v>-1.54188749567963</v>
      </c>
      <c r="AR17" s="3" t="n">
        <f aca="false">LN(AP17)</f>
        <v>0.193901614749744</v>
      </c>
    </row>
    <row r="18" customFormat="false" ht="15" hidden="false" customHeight="false" outlineLevel="0" collapsed="false">
      <c r="A18" s="5" t="n">
        <v>38777</v>
      </c>
      <c r="B18" s="1" t="n">
        <v>69.8005096863333</v>
      </c>
      <c r="C18" s="1" t="n">
        <v>199.729291641333</v>
      </c>
      <c r="D18" s="1" t="n">
        <v>2399.977602054</v>
      </c>
      <c r="E18" s="1" t="n">
        <v>2630.475335161</v>
      </c>
      <c r="F18" s="1" t="n">
        <v>177.262741066</v>
      </c>
      <c r="G18" s="1" t="n">
        <v>3154.641279055</v>
      </c>
      <c r="H18" s="1" t="n">
        <v>2638.847659474</v>
      </c>
      <c r="I18" s="1" t="n">
        <v>537.099248324</v>
      </c>
      <c r="J18" s="1" t="n">
        <v>66.7945432776667</v>
      </c>
      <c r="K18" s="1" t="n">
        <v>10959.4273917849</v>
      </c>
      <c r="L18" s="1" t="n">
        <v>60.5422744036667</v>
      </c>
      <c r="M18" s="1" t="n">
        <v>81.99253</v>
      </c>
      <c r="N18" s="1" t="n">
        <v>64.5713744401419</v>
      </c>
      <c r="O18" s="1" t="n">
        <v>35.3438244900157</v>
      </c>
      <c r="P18" s="1" t="n">
        <v>37.7502942822075</v>
      </c>
      <c r="Q18" s="1" t="n">
        <v>84.3152626289838</v>
      </c>
      <c r="R18" s="1" t="n">
        <v>34.5923655940259</v>
      </c>
      <c r="S18" s="1" t="n">
        <v>34.7401416333089</v>
      </c>
      <c r="T18" s="1" t="n">
        <v>78.1242881687029</v>
      </c>
      <c r="V18" s="1" t="n">
        <v>35.2773468358202</v>
      </c>
      <c r="W18" s="1" t="n">
        <v>81.46629</v>
      </c>
      <c r="X18" s="1" t="n">
        <v>3224.490385038</v>
      </c>
      <c r="Y18" s="1" t="n">
        <v>2705.888426499</v>
      </c>
      <c r="Z18" s="1" t="n">
        <v>254.551135396</v>
      </c>
      <c r="AA18" s="1" t="n">
        <v>568.888878456</v>
      </c>
      <c r="AB18" s="1" t="n">
        <v>3475.851892243</v>
      </c>
      <c r="AC18" s="1" t="n">
        <v>3268.466766206</v>
      </c>
      <c r="AD18" s="1" t="n">
        <v>69.748659043</v>
      </c>
      <c r="AE18" s="1" t="n">
        <v>531.313379441</v>
      </c>
      <c r="AF18" s="1" t="n">
        <v>720.760284247</v>
      </c>
      <c r="AG18" s="1" t="n">
        <v>18.3137482668273</v>
      </c>
      <c r="AH18" s="1" t="n">
        <v>4.727</v>
      </c>
      <c r="AI18" s="1" t="n">
        <v>2.6</v>
      </c>
      <c r="AJ18" s="1" t="n">
        <v>2685.10323897</v>
      </c>
      <c r="AK18" s="1" t="n">
        <v>764.97400857</v>
      </c>
      <c r="AL18" s="1" t="n">
        <v>1916.592096395</v>
      </c>
      <c r="AM18" s="1" t="n">
        <v>1129.14804482</v>
      </c>
      <c r="AO18" s="3" t="n">
        <f aca="false">D18/K18</f>
        <v>0.218987499643732</v>
      </c>
      <c r="AP18" s="3" t="n">
        <f aca="false">(1+D18/K18)</f>
        <v>1.21898749964373</v>
      </c>
      <c r="AQ18" s="3" t="n">
        <f aca="false">LN(AO18)</f>
        <v>-1.51874063004709</v>
      </c>
      <c r="AR18" s="3" t="n">
        <f aca="false">LN(AP18)</f>
        <v>0.198020595847484</v>
      </c>
    </row>
    <row r="19" customFormat="false" ht="15" hidden="false" customHeight="false" outlineLevel="0" collapsed="false">
      <c r="A19" s="5" t="n">
        <v>38869</v>
      </c>
      <c r="B19" s="1" t="n">
        <v>69.9848331656667</v>
      </c>
      <c r="C19" s="1" t="n">
        <v>201.477705195667</v>
      </c>
      <c r="D19" s="1" t="n">
        <v>2485.378221008</v>
      </c>
      <c r="E19" s="1" t="n">
        <v>2887.421551583</v>
      </c>
      <c r="F19" s="1" t="n">
        <v>364.313946508</v>
      </c>
      <c r="G19" s="1" t="n">
        <v>3201.347043432</v>
      </c>
      <c r="H19" s="1" t="n">
        <v>2755.285144403</v>
      </c>
      <c r="I19" s="1" t="n">
        <v>432.527279581</v>
      </c>
      <c r="J19" s="1" t="n">
        <v>68.294544942</v>
      </c>
      <c r="K19" s="1" t="n">
        <v>11513.3780442338</v>
      </c>
      <c r="L19" s="1" t="n">
        <v>60.7021494923333</v>
      </c>
      <c r="M19" s="1" t="n">
        <v>82.70837</v>
      </c>
      <c r="N19" s="1" t="n">
        <v>66.9089967552589</v>
      </c>
      <c r="O19" s="1" t="n">
        <v>36.6233467790454</v>
      </c>
      <c r="P19" s="1" t="n">
        <v>37.8499821730155</v>
      </c>
      <c r="Q19" s="1" t="n">
        <v>85.0533514030752</v>
      </c>
      <c r="R19" s="1" t="n">
        <v>35.8446834585037</v>
      </c>
      <c r="S19" s="1" t="n">
        <v>34.8318805591013</v>
      </c>
      <c r="T19" s="1" t="n">
        <v>78.8081816689216</v>
      </c>
      <c r="V19" s="1" t="n">
        <v>35.7154316000161</v>
      </c>
      <c r="W19" s="1" t="n">
        <v>82.18239</v>
      </c>
      <c r="X19" s="1" t="n">
        <v>3315.492919887</v>
      </c>
      <c r="Y19" s="1" t="n">
        <v>2824.060834678</v>
      </c>
      <c r="Z19" s="1" t="n">
        <v>252.199231162</v>
      </c>
      <c r="AA19" s="1" t="n">
        <v>576.096841641</v>
      </c>
      <c r="AB19" s="1" t="n">
        <v>3579.596559697</v>
      </c>
      <c r="AC19" s="1" t="n">
        <v>3409.675506106</v>
      </c>
      <c r="AD19" s="1" t="n">
        <v>73.872219319</v>
      </c>
      <c r="AE19" s="1" t="n">
        <v>530.50254838</v>
      </c>
      <c r="AF19" s="1" t="n">
        <v>765.154349734</v>
      </c>
      <c r="AG19" s="1" t="n">
        <v>29.9337734181308</v>
      </c>
      <c r="AH19" s="1" t="n">
        <v>6.084</v>
      </c>
      <c r="AI19" s="1" t="n">
        <v>2.6</v>
      </c>
      <c r="AJ19" s="1" t="n">
        <v>2942.741963442</v>
      </c>
      <c r="AK19" s="1" t="n">
        <v>737.64525745</v>
      </c>
      <c r="AL19" s="1" t="n">
        <v>2200.529736437</v>
      </c>
      <c r="AM19" s="1" t="n">
        <v>1339.907431889</v>
      </c>
      <c r="AO19" s="3" t="n">
        <f aca="false">D19/K19</f>
        <v>0.215868723450173</v>
      </c>
      <c r="AP19" s="3" t="n">
        <f aca="false">(1+D19/K19)</f>
        <v>1.21586872345017</v>
      </c>
      <c r="AQ19" s="3" t="n">
        <f aca="false">LN(AO19)</f>
        <v>-1.5330848178648</v>
      </c>
      <c r="AR19" s="3" t="n">
        <f aca="false">LN(AP19)</f>
        <v>0.195458820027122</v>
      </c>
    </row>
    <row r="20" customFormat="false" ht="15" hidden="false" customHeight="false" outlineLevel="0" collapsed="false">
      <c r="A20" s="5" t="n">
        <v>38961</v>
      </c>
      <c r="B20" s="1" t="n">
        <v>70.509749772</v>
      </c>
      <c r="C20" s="1" t="n">
        <v>202.687321062333</v>
      </c>
      <c r="D20" s="1" t="n">
        <v>2444.156230109</v>
      </c>
      <c r="E20" s="1" t="n">
        <v>2442.142635488</v>
      </c>
      <c r="F20" s="1" t="n">
        <v>19.300756209</v>
      </c>
      <c r="G20" s="1" t="n">
        <v>3164.386786063</v>
      </c>
      <c r="H20" s="1" t="n">
        <v>3011.036082528</v>
      </c>
      <c r="I20" s="1" t="n">
        <v>123.712071012</v>
      </c>
      <c r="J20" s="1" t="n">
        <v>66.3216458293333</v>
      </c>
      <c r="K20" s="1" t="n">
        <v>11796.8046966675</v>
      </c>
      <c r="L20" s="1" t="n">
        <v>61.157441945</v>
      </c>
      <c r="M20" s="1" t="n">
        <v>83.28617</v>
      </c>
      <c r="N20" s="1" t="n">
        <v>67.6977867196551</v>
      </c>
      <c r="O20" s="1" t="n">
        <v>37.0550993056537</v>
      </c>
      <c r="P20" s="1" t="n">
        <v>38.1338734576457</v>
      </c>
      <c r="Q20" s="1" t="n">
        <v>85.5639879683985</v>
      </c>
      <c r="R20" s="1" t="n">
        <v>36.2672563255346</v>
      </c>
      <c r="S20" s="1" t="n">
        <v>35.0931347724536</v>
      </c>
      <c r="T20" s="1" t="n">
        <v>79.2813239795177</v>
      </c>
      <c r="V20" s="1" t="n">
        <v>36.3133167780895</v>
      </c>
      <c r="W20" s="1" t="n">
        <v>82.77377</v>
      </c>
      <c r="X20" s="1" t="n">
        <v>3344.554251774</v>
      </c>
      <c r="Y20" s="1" t="n">
        <v>2998.020459239</v>
      </c>
      <c r="Z20" s="1" t="n">
        <v>261.135226767</v>
      </c>
      <c r="AA20" s="1" t="n">
        <v>586.520835692</v>
      </c>
      <c r="AB20" s="1" t="n">
        <v>3605.537182916</v>
      </c>
      <c r="AC20" s="1" t="n">
        <v>3567.15486142</v>
      </c>
      <c r="AD20" s="1" t="n">
        <v>75.172368569</v>
      </c>
      <c r="AE20" s="1" t="n">
        <v>539.27150468</v>
      </c>
      <c r="AF20" s="1" t="n">
        <v>803.84406505</v>
      </c>
      <c r="AG20" s="1" t="n">
        <v>51.1594267291589</v>
      </c>
      <c r="AH20" s="1" t="n">
        <v>6.28</v>
      </c>
      <c r="AI20" s="1" t="n">
        <v>2.6</v>
      </c>
      <c r="AJ20" s="1" t="n">
        <v>2355.085954442</v>
      </c>
      <c r="AK20" s="1" t="n">
        <v>609.738273405</v>
      </c>
      <c r="AL20" s="1" t="n">
        <v>2011.629514576</v>
      </c>
      <c r="AM20" s="1" t="n">
        <v>1238.342162224</v>
      </c>
      <c r="AO20" s="3" t="n">
        <f aca="false">D20/K20</f>
        <v>0.207187988015047</v>
      </c>
      <c r="AP20" s="3" t="n">
        <f aca="false">(1+D20/K20)</f>
        <v>1.20718798801505</v>
      </c>
      <c r="AQ20" s="3" t="n">
        <f aca="false">LN(AO20)</f>
        <v>-1.57412874317765</v>
      </c>
      <c r="AR20" s="3" t="n">
        <f aca="false">LN(AP20)</f>
        <v>0.188293678136252</v>
      </c>
    </row>
    <row r="21" customFormat="false" ht="15" hidden="false" customHeight="false" outlineLevel="0" collapsed="false">
      <c r="A21" s="5" t="n">
        <v>39052</v>
      </c>
      <c r="B21" s="1" t="n">
        <v>71.2368929803333</v>
      </c>
      <c r="C21" s="1" t="n">
        <v>202.442652738333</v>
      </c>
      <c r="D21" s="1" t="n">
        <v>2557.05943914</v>
      </c>
      <c r="E21" s="1" t="n">
        <v>3323.663570073</v>
      </c>
      <c r="F21" s="1" t="n">
        <v>896.596064596</v>
      </c>
      <c r="G21" s="1" t="n">
        <v>3202.650892847</v>
      </c>
      <c r="H21" s="1" t="n">
        <v>2855.804632576</v>
      </c>
      <c r="I21" s="1" t="n">
        <v>381.293648308</v>
      </c>
      <c r="J21" s="1" t="n">
        <v>62.557472645</v>
      </c>
      <c r="K21" s="1" t="n">
        <v>11421.1521559827</v>
      </c>
      <c r="L21" s="1" t="n">
        <v>61.7881379646667</v>
      </c>
      <c r="M21" s="1" t="n">
        <v>83.58394</v>
      </c>
      <c r="N21" s="1" t="n">
        <v>65.9034251356589</v>
      </c>
      <c r="O21" s="1" t="n">
        <v>36.0729365215058</v>
      </c>
      <c r="P21" s="1" t="n">
        <v>38.5271352006222</v>
      </c>
      <c r="Q21" s="1" t="n">
        <v>85.4607017962726</v>
      </c>
      <c r="R21" s="1" t="n">
        <v>35.305975689035</v>
      </c>
      <c r="S21" s="1" t="n">
        <v>35.4550384055175</v>
      </c>
      <c r="T21" s="1" t="n">
        <v>79.1856217492998</v>
      </c>
      <c r="V21" s="1" t="n">
        <v>36.6167307357921</v>
      </c>
      <c r="W21" s="1" t="n">
        <v>82.6364</v>
      </c>
      <c r="X21" s="1" t="n">
        <v>3282.891566179</v>
      </c>
      <c r="Y21" s="1" t="n">
        <v>2851.563597498</v>
      </c>
      <c r="Z21" s="1" t="n">
        <v>268.338977026</v>
      </c>
      <c r="AA21" s="1" t="n">
        <v>607.147872333</v>
      </c>
      <c r="AB21" s="1" t="n">
        <v>3543.737828345</v>
      </c>
      <c r="AC21" s="1" t="n">
        <v>3468.416562686</v>
      </c>
      <c r="AD21" s="1" t="n">
        <v>68.151638206</v>
      </c>
      <c r="AE21" s="1" t="n">
        <v>508.036890579</v>
      </c>
      <c r="AF21" s="1" t="n">
        <v>938.255242702</v>
      </c>
      <c r="AG21" s="1" t="n">
        <v>30.528934822243</v>
      </c>
      <c r="AH21" s="1" t="n">
        <v>19.421</v>
      </c>
      <c r="AI21" s="1" t="n">
        <v>2.6</v>
      </c>
      <c r="AJ21" s="1" t="n">
        <v>3330.681774482</v>
      </c>
      <c r="AK21" s="1" t="n">
        <v>1140.513756028</v>
      </c>
      <c r="AL21" s="1" t="n">
        <v>2183.587442723</v>
      </c>
      <c r="AM21" s="1" t="n">
        <v>1221.86305746</v>
      </c>
      <c r="AO21" s="3" t="n">
        <f aca="false">D21/K21</f>
        <v>0.223888045988473</v>
      </c>
      <c r="AP21" s="3" t="n">
        <f aca="false">(1+D21/K21)</f>
        <v>1.22388804598847</v>
      </c>
      <c r="AQ21" s="3" t="n">
        <f aca="false">LN(AO21)</f>
        <v>-1.49660914676041</v>
      </c>
      <c r="AR21" s="3" t="n">
        <f aca="false">LN(AP21)</f>
        <v>0.2020327142112</v>
      </c>
    </row>
    <row r="22" customFormat="false" ht="15" hidden="false" customHeight="false" outlineLevel="0" collapsed="false">
      <c r="A22" s="5" t="n">
        <v>39142</v>
      </c>
      <c r="B22" s="1" t="n">
        <v>71.2407984036667</v>
      </c>
      <c r="C22" s="1" t="n">
        <v>204.677395638667</v>
      </c>
      <c r="D22" s="1" t="n">
        <v>2466.394919003</v>
      </c>
      <c r="E22" s="1" t="n">
        <v>2822.298261142</v>
      </c>
      <c r="F22" s="1" t="n">
        <v>200.372165134</v>
      </c>
      <c r="G22" s="1" t="n">
        <v>3016.812188301</v>
      </c>
      <c r="H22" s="1" t="n">
        <v>3038.36827598</v>
      </c>
      <c r="I22" s="1" t="n">
        <v>-15.453257453</v>
      </c>
      <c r="J22" s="1" t="n">
        <v>62.6523655666667</v>
      </c>
      <c r="K22" s="1" t="n">
        <v>11457.7572391597</v>
      </c>
      <c r="L22" s="1" t="n">
        <v>61.791525378</v>
      </c>
      <c r="M22" s="1" t="n">
        <v>84.37867</v>
      </c>
      <c r="N22" s="1" t="n">
        <v>66.2586635586249</v>
      </c>
      <c r="O22" s="1" t="n">
        <v>36.2673800281259</v>
      </c>
      <c r="P22" s="1" t="n">
        <v>38.5292473754586</v>
      </c>
      <c r="Q22" s="1" t="n">
        <v>86.4040933889701</v>
      </c>
      <c r="R22" s="1" t="n">
        <v>35.496285056101</v>
      </c>
      <c r="S22" s="1" t="n">
        <v>35.4569821586555</v>
      </c>
      <c r="T22" s="1" t="n">
        <v>80.059743401131</v>
      </c>
      <c r="V22" s="1" t="n">
        <v>36.5987510260458</v>
      </c>
      <c r="W22" s="1" t="n">
        <v>83.39147</v>
      </c>
      <c r="X22" s="1" t="n">
        <v>3081.583933912</v>
      </c>
      <c r="Y22" s="1" t="n">
        <v>3086.747916573</v>
      </c>
      <c r="Z22" s="1" t="n">
        <v>277.590983647</v>
      </c>
      <c r="AA22" s="1" t="n">
        <v>620.033236161</v>
      </c>
      <c r="AB22" s="1" t="n">
        <v>3356.214853578</v>
      </c>
      <c r="AC22" s="1" t="n">
        <v>3707.55604178</v>
      </c>
      <c r="AD22" s="1" t="n">
        <v>81.37647435</v>
      </c>
      <c r="AE22" s="1" t="n">
        <v>568.268848856</v>
      </c>
      <c r="AF22" s="1" t="n">
        <v>842.871940699</v>
      </c>
      <c r="AG22" s="1" t="n">
        <v>32.58685279</v>
      </c>
      <c r="AH22" s="1" t="n">
        <v>60.8966</v>
      </c>
      <c r="AI22" s="1" t="n">
        <v>2.5</v>
      </c>
      <c r="AJ22" s="1" t="n">
        <v>2853.572814463</v>
      </c>
      <c r="AK22" s="1" t="n">
        <v>811.441009336</v>
      </c>
      <c r="AL22" s="1" t="n">
        <v>2081.890964274</v>
      </c>
      <c r="AM22" s="1" t="n">
        <v>1254.202561537</v>
      </c>
      <c r="AO22" s="3" t="n">
        <f aca="false">D22/K22</f>
        <v>0.215259833798319</v>
      </c>
      <c r="AP22" s="3" t="n">
        <f aca="false">(1+D22/K22)</f>
        <v>1.21525983379832</v>
      </c>
      <c r="AQ22" s="3" t="n">
        <f aca="false">LN(AO22)</f>
        <v>-1.53590945124366</v>
      </c>
      <c r="AR22" s="3" t="n">
        <f aca="false">LN(AP22)</f>
        <v>0.194957908906836</v>
      </c>
    </row>
    <row r="23" customFormat="false" ht="15" hidden="false" customHeight="false" outlineLevel="0" collapsed="false">
      <c r="A23" s="5" t="n">
        <v>39234</v>
      </c>
      <c r="B23" s="1" t="n">
        <v>71.1761089403333</v>
      </c>
      <c r="C23" s="1" t="n">
        <v>206.772432831</v>
      </c>
      <c r="D23" s="1" t="n">
        <v>2792.025766729</v>
      </c>
      <c r="E23" s="1" t="n">
        <v>3045.539375929</v>
      </c>
      <c r="F23" s="1" t="n">
        <v>236.193196366</v>
      </c>
      <c r="G23" s="1" t="n">
        <v>3214.052049331</v>
      </c>
      <c r="H23" s="1" t="n">
        <v>2959.893018118</v>
      </c>
      <c r="I23" s="1" t="n">
        <v>227.347616462</v>
      </c>
      <c r="J23" s="1" t="n">
        <v>61.6309849883333</v>
      </c>
      <c r="K23" s="1" t="n">
        <v>12152.4533691044</v>
      </c>
      <c r="L23" s="1" t="n">
        <v>61.735416229</v>
      </c>
      <c r="M23" s="1" t="n">
        <v>84.96534</v>
      </c>
      <c r="N23" s="1" t="n">
        <v>69.8138959064373</v>
      </c>
      <c r="O23" s="1" t="n">
        <v>38.2133740419097</v>
      </c>
      <c r="P23" s="1" t="n">
        <v>38.4942612945723</v>
      </c>
      <c r="Q23" s="1" t="n">
        <v>87.2885085372814</v>
      </c>
      <c r="R23" s="1" t="n">
        <v>37.4009045289487</v>
      </c>
      <c r="S23" s="1" t="n">
        <v>35.4247858161291</v>
      </c>
      <c r="T23" s="1" t="n">
        <v>80.87921904235</v>
      </c>
      <c r="V23" s="1" t="n">
        <v>36.7209704887929</v>
      </c>
      <c r="W23" s="1" t="n">
        <v>84.09879</v>
      </c>
      <c r="X23" s="1" t="n">
        <v>3359.210716538</v>
      </c>
      <c r="Y23" s="1" t="n">
        <v>3050.862600695</v>
      </c>
      <c r="Z23" s="1" t="n">
        <v>297.283332181</v>
      </c>
      <c r="AA23" s="1" t="n">
        <v>625.049214062</v>
      </c>
      <c r="AB23" s="1" t="n">
        <v>3664.958954129</v>
      </c>
      <c r="AC23" s="1" t="n">
        <v>3680.530323259</v>
      </c>
      <c r="AD23" s="1" t="n">
        <v>82.582387079</v>
      </c>
      <c r="AE23" s="1" t="n">
        <v>552.162552775</v>
      </c>
      <c r="AF23" s="1" t="n">
        <v>896.714536545</v>
      </c>
      <c r="AG23" s="1" t="n">
        <v>39.24113172</v>
      </c>
      <c r="AH23" s="1" t="n">
        <v>19.4922</v>
      </c>
      <c r="AI23" s="1" t="n">
        <v>2.5</v>
      </c>
      <c r="AJ23" s="1" t="n">
        <v>3124.699243935</v>
      </c>
      <c r="AK23" s="1" t="n">
        <v>553.407049267</v>
      </c>
      <c r="AL23" s="1" t="n">
        <v>2282.920936765</v>
      </c>
      <c r="AM23" s="1" t="n">
        <v>1344.006680816</v>
      </c>
      <c r="AO23" s="3" t="n">
        <f aca="false">D23/K23</f>
        <v>0.229749967510862</v>
      </c>
      <c r="AP23" s="3" t="n">
        <f aca="false">(1+D23/K23)</f>
        <v>1.22974996751086</v>
      </c>
      <c r="AQ23" s="3" t="n">
        <f aca="false">LN(AO23)</f>
        <v>-1.47076365915718</v>
      </c>
      <c r="AR23" s="3" t="n">
        <f aca="false">LN(AP23)</f>
        <v>0.206810870274009</v>
      </c>
    </row>
    <row r="24" customFormat="false" ht="15" hidden="false" customHeight="false" outlineLevel="0" collapsed="false">
      <c r="A24" s="5" t="n">
        <v>39326</v>
      </c>
      <c r="B24" s="1" t="n">
        <v>72.2682733133333</v>
      </c>
      <c r="C24" s="1" t="n">
        <v>207.368739170333</v>
      </c>
      <c r="D24" s="1" t="n">
        <v>3431.367668134</v>
      </c>
      <c r="E24" s="1" t="n">
        <v>3826.508310902</v>
      </c>
      <c r="F24" s="1" t="n">
        <v>404.346983471</v>
      </c>
      <c r="G24" s="1" t="n">
        <v>3700.194080736</v>
      </c>
      <c r="H24" s="1" t="n">
        <v>3249.227895867</v>
      </c>
      <c r="I24" s="1" t="n">
        <v>439.427045167</v>
      </c>
      <c r="J24" s="1" t="n">
        <v>71.1972546246667</v>
      </c>
      <c r="K24" s="1" t="n">
        <v>12747.5992246293</v>
      </c>
      <c r="L24" s="1" t="n">
        <v>62.6827175516667</v>
      </c>
      <c r="M24" s="1" t="n">
        <v>85.42975</v>
      </c>
      <c r="N24" s="1" t="n">
        <v>72.0515559597592</v>
      </c>
      <c r="O24" s="1" t="n">
        <v>39.4381809300803</v>
      </c>
      <c r="P24" s="1" t="n">
        <v>39.0849378765997</v>
      </c>
      <c r="Q24" s="1" t="n">
        <v>87.540237891524</v>
      </c>
      <c r="R24" s="1" t="n">
        <v>38.5996703181362</v>
      </c>
      <c r="S24" s="1" t="n">
        <v>35.9683627208734</v>
      </c>
      <c r="T24" s="1" t="n">
        <v>81.1124647916743</v>
      </c>
      <c r="V24" s="1" t="n">
        <v>37.2920957588466</v>
      </c>
      <c r="W24" s="1" t="n">
        <v>84.57521</v>
      </c>
      <c r="X24" s="1" t="n">
        <v>3951.439956436</v>
      </c>
      <c r="Y24" s="1" t="n">
        <v>3247.01675295</v>
      </c>
      <c r="Z24" s="1" t="n">
        <v>308.307814561</v>
      </c>
      <c r="AA24" s="1" t="n">
        <v>662.160611228</v>
      </c>
      <c r="AB24" s="1" t="n">
        <v>4260.255275627</v>
      </c>
      <c r="AC24" s="1" t="n">
        <v>3893.965425125</v>
      </c>
      <c r="AD24" s="1" t="n">
        <v>84.460858903</v>
      </c>
      <c r="AE24" s="1" t="n">
        <v>606.206329801</v>
      </c>
      <c r="AF24" s="1" t="n">
        <v>905.405835015</v>
      </c>
      <c r="AG24" s="1" t="n">
        <v>41.83303822</v>
      </c>
      <c r="AH24" s="1" t="n">
        <v>14.3488</v>
      </c>
      <c r="AI24" s="1" t="n">
        <v>2.5</v>
      </c>
      <c r="AJ24" s="1" t="n">
        <v>3690.140157027</v>
      </c>
      <c r="AK24" s="1" t="n">
        <v>834.26769605</v>
      </c>
      <c r="AL24" s="1" t="n">
        <v>2488.86623103</v>
      </c>
      <c r="AM24" s="1" t="n">
        <v>1444.573208112</v>
      </c>
      <c r="AO24" s="3" t="n">
        <f aca="false">D24/K24</f>
        <v>0.269177561019046</v>
      </c>
      <c r="AP24" s="3" t="n">
        <f aca="false">(1+D24/K24)</f>
        <v>1.26917756101905</v>
      </c>
      <c r="AQ24" s="3" t="n">
        <f aca="false">LN(AO24)</f>
        <v>-1.31238403899834</v>
      </c>
      <c r="AR24" s="3" t="n">
        <f aca="false">LN(AP24)</f>
        <v>0.238369100944905</v>
      </c>
    </row>
    <row r="25" customFormat="false" ht="15" hidden="false" customHeight="false" outlineLevel="0" collapsed="false">
      <c r="A25" s="5" t="n">
        <v>39417</v>
      </c>
      <c r="B25" s="1" t="n">
        <v>73.2621351596667</v>
      </c>
      <c r="C25" s="1" t="n">
        <v>210.549827523</v>
      </c>
      <c r="D25" s="1" t="n">
        <v>3467.690741172</v>
      </c>
      <c r="E25" s="1" t="n">
        <v>3913.791716279</v>
      </c>
      <c r="F25" s="1" t="n">
        <v>626.996799115</v>
      </c>
      <c r="G25" s="1" t="n">
        <v>4404.742071652</v>
      </c>
      <c r="H25" s="1" t="n">
        <v>3621.778176269</v>
      </c>
      <c r="I25" s="1" t="n">
        <v>796.3754758</v>
      </c>
      <c r="J25" s="1" t="n">
        <v>93.695847373</v>
      </c>
      <c r="K25" s="1" t="n">
        <v>13490.9164312167</v>
      </c>
      <c r="L25" s="1" t="n">
        <v>63.5447550483333</v>
      </c>
      <c r="M25" s="1" t="n">
        <v>85.77584</v>
      </c>
      <c r="N25" s="1" t="n">
        <v>75.555435807868</v>
      </c>
      <c r="O25" s="1" t="n">
        <v>41.3560666102196</v>
      </c>
      <c r="P25" s="1" t="n">
        <v>39.6224493839446</v>
      </c>
      <c r="Q25" s="1" t="n">
        <v>88.8831270476261</v>
      </c>
      <c r="R25" s="1" t="n">
        <v>40.4767790796305</v>
      </c>
      <c r="S25" s="1" t="n">
        <v>36.4630138553811</v>
      </c>
      <c r="T25" s="1" t="n">
        <v>82.3567502998817</v>
      </c>
      <c r="V25" s="1" t="n">
        <v>37.8001550396001</v>
      </c>
      <c r="W25" s="1" t="n">
        <v>85.4355</v>
      </c>
      <c r="X25" s="1" t="n">
        <v>4483.596026671</v>
      </c>
      <c r="Y25" s="1" t="n">
        <v>3615.838870467</v>
      </c>
      <c r="Z25" s="1" t="n">
        <v>316.486358431</v>
      </c>
      <c r="AA25" s="1" t="n">
        <v>662.858631889</v>
      </c>
      <c r="AB25" s="1" t="n">
        <v>4792.955806536</v>
      </c>
      <c r="AC25" s="1" t="n">
        <v>4287.395958167</v>
      </c>
      <c r="AD25" s="1" t="n">
        <v>89.471045999</v>
      </c>
      <c r="AE25" s="1" t="n">
        <v>566.952353936</v>
      </c>
      <c r="AF25" s="1" t="n">
        <v>905.279115721</v>
      </c>
      <c r="AG25" s="1" t="n">
        <v>35.676280684</v>
      </c>
      <c r="AH25" s="1" t="n">
        <v>10.70733696</v>
      </c>
      <c r="AI25" s="1" t="n">
        <v>2.5</v>
      </c>
      <c r="AJ25" s="1" t="n">
        <v>4000.487411049</v>
      </c>
      <c r="AK25" s="1" t="n">
        <v>1263.993856454</v>
      </c>
      <c r="AL25" s="1" t="n">
        <v>2603.635349322</v>
      </c>
      <c r="AM25" s="1" t="n">
        <v>1530.892399421</v>
      </c>
      <c r="AO25" s="3" t="n">
        <f aca="false">D25/K25</f>
        <v>0.257038931258079</v>
      </c>
      <c r="AP25" s="3" t="n">
        <f aca="false">(1+D25/K25)</f>
        <v>1.25703893125808</v>
      </c>
      <c r="AQ25" s="3" t="n">
        <f aca="false">LN(AO25)</f>
        <v>-1.35852772206491</v>
      </c>
      <c r="AR25" s="3" t="n">
        <f aca="false">LN(AP25)</f>
        <v>0.228758900694197</v>
      </c>
    </row>
    <row r="26" customFormat="false" ht="15" hidden="false" customHeight="false" outlineLevel="0" collapsed="false">
      <c r="A26" s="5" t="n">
        <v>39508</v>
      </c>
      <c r="B26" s="1" t="n">
        <v>74.9991203966667</v>
      </c>
      <c r="C26" s="1" t="n">
        <v>213.052124807333</v>
      </c>
      <c r="D26" s="1" t="n">
        <v>3996.813547893</v>
      </c>
      <c r="E26" s="1" t="n">
        <v>5084.193562069</v>
      </c>
      <c r="F26" s="1" t="n">
        <v>871.965960215</v>
      </c>
      <c r="G26" s="1" t="n">
        <v>4879.911654795</v>
      </c>
      <c r="H26" s="1" t="n">
        <v>3854.487251765</v>
      </c>
      <c r="I26" s="1" t="n">
        <v>868.099787665</v>
      </c>
      <c r="J26" s="1" t="n">
        <v>102.810113658667</v>
      </c>
      <c r="K26" s="1" t="n">
        <v>14396.1056060795</v>
      </c>
      <c r="L26" s="1" t="n">
        <v>65.0513491593333</v>
      </c>
      <c r="M26" s="1" t="n">
        <v>86.09334</v>
      </c>
      <c r="N26" s="1" t="n">
        <v>78.5677902263406</v>
      </c>
      <c r="O26" s="1" t="n">
        <v>43.0049106497237</v>
      </c>
      <c r="P26" s="1" t="n">
        <v>40.5618652156522</v>
      </c>
      <c r="Q26" s="1" t="n">
        <v>89.939466110217</v>
      </c>
      <c r="R26" s="1" t="n">
        <v>42.0905664001897</v>
      </c>
      <c r="S26" s="1" t="n">
        <v>37.3275220576781</v>
      </c>
      <c r="T26" s="1" t="n">
        <v>83.3355260844375</v>
      </c>
      <c r="V26" s="1" t="n">
        <v>39.0245168262488</v>
      </c>
      <c r="W26" s="1" t="n">
        <v>86.13309</v>
      </c>
      <c r="X26" s="1" t="n">
        <v>4915.206252631</v>
      </c>
      <c r="Y26" s="1" t="n">
        <v>3920.175028065</v>
      </c>
      <c r="Z26" s="1" t="n">
        <v>334.391344649</v>
      </c>
      <c r="AA26" s="1" t="n">
        <v>677.709994086</v>
      </c>
      <c r="AB26" s="1" t="n">
        <v>5243.745739346</v>
      </c>
      <c r="AC26" s="1" t="n">
        <v>4599.967779933</v>
      </c>
      <c r="AD26" s="1" t="n">
        <v>81.577404887</v>
      </c>
      <c r="AE26" s="1" t="n">
        <v>489.101183606</v>
      </c>
      <c r="AF26" s="1" t="n">
        <v>960.885336609</v>
      </c>
      <c r="AG26" s="1" t="n">
        <v>26.597314623</v>
      </c>
      <c r="AH26" s="1" t="n">
        <v>37.441</v>
      </c>
      <c r="AI26" s="1" t="n">
        <v>2.6</v>
      </c>
      <c r="AJ26" s="1" t="n">
        <v>5082.702870202</v>
      </c>
      <c r="AK26" s="1" t="n">
        <v>1917.854471423</v>
      </c>
      <c r="AL26" s="1" t="n">
        <v>2849.18907255</v>
      </c>
      <c r="AM26" s="1" t="n">
        <v>1606.424920242</v>
      </c>
      <c r="AO26" s="3" t="n">
        <f aca="false">D26/K26</f>
        <v>0.277631580182709</v>
      </c>
      <c r="AP26" s="3" t="n">
        <f aca="false">(1+D26/K26)</f>
        <v>1.27763158018271</v>
      </c>
      <c r="AQ26" s="3" t="n">
        <f aca="false">LN(AO26)</f>
        <v>-1.28146029535474</v>
      </c>
      <c r="AR26" s="3" t="n">
        <f aca="false">LN(AP26)</f>
        <v>0.245008035977847</v>
      </c>
    </row>
    <row r="27" customFormat="false" ht="15" hidden="false" customHeight="false" outlineLevel="0" collapsed="false">
      <c r="A27" s="5" t="n">
        <v>39600</v>
      </c>
      <c r="B27" s="1" t="n">
        <v>77.6309932526667</v>
      </c>
      <c r="C27" s="1" t="n">
        <v>215.841329917333</v>
      </c>
      <c r="D27" s="1" t="n">
        <v>5319.03605464</v>
      </c>
      <c r="E27" s="1" t="n">
        <v>5495.794616142</v>
      </c>
      <c r="F27" s="1" t="n">
        <v>413.174261481</v>
      </c>
      <c r="G27" s="1" t="n">
        <v>5263.142785231</v>
      </c>
      <c r="H27" s="1" t="n">
        <v>4328.306803447</v>
      </c>
      <c r="I27" s="1" t="n">
        <v>1032.870273261</v>
      </c>
      <c r="J27" s="1" t="n">
        <v>119.797157807</v>
      </c>
      <c r="K27" s="1" t="n">
        <v>15882.9996450308</v>
      </c>
      <c r="L27" s="1" t="n">
        <v>67.3341343333333</v>
      </c>
      <c r="M27" s="1" t="n">
        <v>86.51042</v>
      </c>
      <c r="N27" s="1" t="n">
        <v>85.5209099279723</v>
      </c>
      <c r="O27" s="1" t="n">
        <v>46.8107742312765</v>
      </c>
      <c r="P27" s="1" t="n">
        <v>41.9852642033362</v>
      </c>
      <c r="Q27" s="1" t="n">
        <v>91.1169226537373</v>
      </c>
      <c r="R27" s="1" t="n">
        <v>45.8155120254503</v>
      </c>
      <c r="S27" s="1" t="n">
        <v>38.6374213147061</v>
      </c>
      <c r="T27" s="1" t="n">
        <v>84.426526117455</v>
      </c>
      <c r="V27" s="1" t="n">
        <v>40.0802701742513</v>
      </c>
      <c r="W27" s="1" t="n">
        <v>86.97292</v>
      </c>
      <c r="X27" s="1" t="n">
        <v>5620.83470712</v>
      </c>
      <c r="Y27" s="1" t="n">
        <v>4426.163183114</v>
      </c>
      <c r="Z27" s="1" t="n">
        <v>361.849107985</v>
      </c>
      <c r="AA27" s="1" t="n">
        <v>760.784590123</v>
      </c>
      <c r="AB27" s="1" t="n">
        <v>5997.624268758</v>
      </c>
      <c r="AC27" s="1" t="n">
        <v>5186.240253192</v>
      </c>
      <c r="AD27" s="1" t="n">
        <v>83.708824561</v>
      </c>
      <c r="AE27" s="1" t="n">
        <v>435.307000774</v>
      </c>
      <c r="AF27" s="1" t="n">
        <v>864.381156187</v>
      </c>
      <c r="AG27" s="1" t="n">
        <v>32.2378115564</v>
      </c>
      <c r="AH27" s="1" t="n">
        <v>27.52</v>
      </c>
      <c r="AI27" s="1" t="n">
        <v>2.6</v>
      </c>
      <c r="AJ27" s="1" t="n">
        <v>5551.841682736</v>
      </c>
      <c r="AK27" s="1" t="n">
        <v>2575.435708889</v>
      </c>
      <c r="AL27" s="1" t="n">
        <v>2725.450938268</v>
      </c>
      <c r="AM27" s="1" t="n">
        <v>1616.56476242</v>
      </c>
      <c r="AO27" s="3" t="n">
        <f aca="false">D27/K27</f>
        <v>0.334888633980681</v>
      </c>
      <c r="AP27" s="3" t="n">
        <f aca="false">(1+D27/K27)</f>
        <v>1.33488863398068</v>
      </c>
      <c r="AQ27" s="3" t="n">
        <f aca="false">LN(AO27)</f>
        <v>-1.09395723830469</v>
      </c>
      <c r="AR27" s="3" t="n">
        <f aca="false">LN(AP27)</f>
        <v>0.288847868133361</v>
      </c>
    </row>
    <row r="28" customFormat="false" ht="15" hidden="false" customHeight="false" outlineLevel="0" collapsed="false">
      <c r="A28" s="5" t="n">
        <v>39692</v>
      </c>
      <c r="B28" s="1" t="n">
        <v>79.4459473283333</v>
      </c>
      <c r="C28" s="1" t="n">
        <v>218.387241137333</v>
      </c>
      <c r="D28" s="1" t="n">
        <v>6197.589359982</v>
      </c>
      <c r="E28" s="1" t="n">
        <v>6391.774148833</v>
      </c>
      <c r="F28" s="1" t="n">
        <v>154.631105219</v>
      </c>
      <c r="G28" s="1" t="n">
        <v>5011.400905974</v>
      </c>
      <c r="H28" s="1" t="n">
        <v>5013.719241992</v>
      </c>
      <c r="I28" s="1" t="n">
        <v>-4.22879403100001</v>
      </c>
      <c r="J28" s="1" t="n">
        <v>114.377708967</v>
      </c>
      <c r="K28" s="1" t="n">
        <v>16257.5602495345</v>
      </c>
      <c r="L28" s="1" t="n">
        <v>68.908355613</v>
      </c>
      <c r="M28" s="1" t="n">
        <v>87.16217</v>
      </c>
      <c r="N28" s="1" t="n">
        <v>86.1002010081723</v>
      </c>
      <c r="O28" s="1" t="n">
        <v>47.1278553286627</v>
      </c>
      <c r="P28" s="1" t="n">
        <v>42.9668480165919</v>
      </c>
      <c r="Q28" s="1" t="n">
        <v>92.1916732392941</v>
      </c>
      <c r="R28" s="1" t="n">
        <v>46.1258515374303</v>
      </c>
      <c r="S28" s="1" t="n">
        <v>39.5407350860518</v>
      </c>
      <c r="T28" s="1" t="n">
        <v>85.422361531323</v>
      </c>
      <c r="V28" s="1" t="n">
        <v>40.7903548196443</v>
      </c>
      <c r="W28" s="1" t="n">
        <v>87.9014</v>
      </c>
      <c r="X28" s="1" t="n">
        <v>5433.557853082</v>
      </c>
      <c r="Y28" s="1" t="n">
        <v>5058.375910445</v>
      </c>
      <c r="Z28" s="1" t="n">
        <v>370.341216248</v>
      </c>
      <c r="AA28" s="1" t="n">
        <v>788.421755745</v>
      </c>
      <c r="AB28" s="1" t="n">
        <v>5802.195076511</v>
      </c>
      <c r="AC28" s="1" t="n">
        <v>5840.317430506</v>
      </c>
      <c r="AD28" s="1" t="n">
        <v>90.219019013</v>
      </c>
      <c r="AE28" s="1" t="n">
        <v>477.885330566</v>
      </c>
      <c r="AF28" s="1" t="n">
        <v>815.83716994</v>
      </c>
      <c r="AG28" s="1" t="n">
        <v>44.73205569</v>
      </c>
      <c r="AH28" s="1" t="n">
        <v>19.7654</v>
      </c>
      <c r="AI28" s="1" t="n">
        <v>2.6</v>
      </c>
      <c r="AJ28" s="1" t="n">
        <v>6130.647972842</v>
      </c>
      <c r="AK28" s="1" t="n">
        <v>2521.150031871</v>
      </c>
      <c r="AL28" s="1" t="n">
        <v>3513.145203774</v>
      </c>
      <c r="AM28" s="1" t="n">
        <v>1855.152664493</v>
      </c>
      <c r="AO28" s="3" t="n">
        <f aca="false">D28/K28</f>
        <v>0.381212756702498</v>
      </c>
      <c r="AP28" s="3" t="n">
        <f aca="false">(1+D28/K28)</f>
        <v>1.3812127567025</v>
      </c>
      <c r="AQ28" s="3" t="n">
        <f aca="false">LN(AO28)</f>
        <v>-0.964397643169944</v>
      </c>
      <c r="AR28" s="3" t="n">
        <f aca="false">LN(AP28)</f>
        <v>0.3229619224471</v>
      </c>
    </row>
    <row r="29" customFormat="false" ht="15" hidden="false" customHeight="false" outlineLevel="0" collapsed="false">
      <c r="A29" s="5" t="n">
        <v>39783</v>
      </c>
      <c r="B29" s="1" t="n">
        <v>80.0582025903333</v>
      </c>
      <c r="C29" s="1" t="n">
        <v>213.958451547333</v>
      </c>
      <c r="D29" s="1" t="n">
        <v>5983.10717598</v>
      </c>
      <c r="E29" s="1" t="n">
        <v>5216.075199075</v>
      </c>
      <c r="F29" s="1" t="n">
        <v>-913.669725198</v>
      </c>
      <c r="G29" s="1" t="n">
        <v>3313.065376985</v>
      </c>
      <c r="H29" s="1" t="n">
        <v>4413.072369721</v>
      </c>
      <c r="I29" s="1" t="n">
        <v>-1055.06171577</v>
      </c>
      <c r="J29" s="1" t="n">
        <v>61.5792626193333</v>
      </c>
      <c r="K29" s="1" t="n">
        <v>14602.7715818018</v>
      </c>
      <c r="L29" s="1" t="n">
        <v>69.4394022523333</v>
      </c>
      <c r="M29" s="1" t="n">
        <v>87.37317</v>
      </c>
      <c r="N29" s="1" t="n">
        <v>76.5276584849731</v>
      </c>
      <c r="O29" s="1" t="n">
        <v>41.888222971498</v>
      </c>
      <c r="P29" s="1" t="n">
        <v>43.2979747722588</v>
      </c>
      <c r="Q29" s="1" t="n">
        <v>90.3220698659446</v>
      </c>
      <c r="R29" s="1" t="n">
        <v>40.9976210560762</v>
      </c>
      <c r="S29" s="1" t="n">
        <v>39.8454582838221</v>
      </c>
      <c r="T29" s="1" t="n">
        <v>83.6900365862717</v>
      </c>
      <c r="V29" s="1" t="n">
        <v>41.7781927186206</v>
      </c>
      <c r="W29" s="1" t="n">
        <v>86.49747</v>
      </c>
      <c r="X29" s="1" t="n">
        <v>3462.613588828</v>
      </c>
      <c r="Y29" s="1" t="n">
        <v>4451.03229</v>
      </c>
      <c r="Z29" s="1" t="n">
        <v>374.083635874</v>
      </c>
      <c r="AA29" s="1" t="n">
        <v>785.954762178</v>
      </c>
      <c r="AB29" s="1" t="n">
        <v>3831.935453039</v>
      </c>
      <c r="AC29" s="1" t="n">
        <v>5239.767938993</v>
      </c>
      <c r="AD29" s="1" t="n">
        <v>78.571738158</v>
      </c>
      <c r="AE29" s="1" t="n">
        <v>362.184243079</v>
      </c>
      <c r="AF29" s="1" t="n">
        <v>750.201291205</v>
      </c>
      <c r="AG29" s="1" t="n">
        <v>58.193001577</v>
      </c>
      <c r="AH29" s="1" t="n">
        <v>31.2781476</v>
      </c>
      <c r="AI29" s="1" t="n">
        <v>2.6</v>
      </c>
      <c r="AJ29" s="1" t="n">
        <v>5357.320255932</v>
      </c>
      <c r="AK29" s="1" t="n">
        <v>1377.071353652</v>
      </c>
      <c r="AL29" s="1" t="n">
        <v>3499.041672368</v>
      </c>
      <c r="AM29" s="1" t="n">
        <v>1862.592583866</v>
      </c>
      <c r="AO29" s="3" t="n">
        <f aca="false">D29/K29</f>
        <v>0.409724081655584</v>
      </c>
      <c r="AP29" s="3" t="n">
        <f aca="false">(1+D29/K29)</f>
        <v>1.40972408165558</v>
      </c>
      <c r="AQ29" s="3" t="n">
        <f aca="false">LN(AO29)</f>
        <v>-0.892271317402544</v>
      </c>
      <c r="AR29" s="3" t="n">
        <f aca="false">LN(AP29)</f>
        <v>0.343393998471833</v>
      </c>
    </row>
    <row r="30" customFormat="false" ht="15" hidden="false" customHeight="false" outlineLevel="0" collapsed="false">
      <c r="A30" s="5" t="n">
        <v>39873</v>
      </c>
      <c r="B30" s="1" t="n">
        <v>80.8920756176667</v>
      </c>
      <c r="C30" s="1" t="n">
        <v>212.897389951333</v>
      </c>
      <c r="D30" s="1" t="n">
        <v>4657.747533181</v>
      </c>
      <c r="E30" s="1" t="n">
        <v>3611.063371853</v>
      </c>
      <c r="F30" s="1" t="n">
        <v>-1375.247379624</v>
      </c>
      <c r="G30" s="1" t="n">
        <v>2779.451872107</v>
      </c>
      <c r="H30" s="1" t="n">
        <v>3670.428928623</v>
      </c>
      <c r="I30" s="1" t="n">
        <v>-931.186041078</v>
      </c>
      <c r="J30" s="1" t="n">
        <v>46.9849125583333</v>
      </c>
      <c r="K30" s="1" t="n">
        <v>14200.4905400312</v>
      </c>
      <c r="L30" s="1" t="n">
        <v>70.1626716073333</v>
      </c>
      <c r="M30" s="1" t="n">
        <v>87.30415</v>
      </c>
      <c r="N30" s="1" t="n">
        <v>74.5511406920734</v>
      </c>
      <c r="O30" s="1" t="n">
        <v>40.8063550605339</v>
      </c>
      <c r="P30" s="1" t="n">
        <v>43.748959332648</v>
      </c>
      <c r="Q30" s="1" t="n">
        <v>89.8741451454538</v>
      </c>
      <c r="R30" s="1" t="n">
        <v>39.9387551625143</v>
      </c>
      <c r="S30" s="1" t="n">
        <v>40.2604820021866</v>
      </c>
      <c r="T30" s="1" t="n">
        <v>83.2750014093608</v>
      </c>
      <c r="V30" s="1" t="n">
        <v>41.1737927674126</v>
      </c>
      <c r="W30" s="1" t="n">
        <v>85.9129</v>
      </c>
      <c r="X30" s="1" t="n">
        <v>2834.406282363</v>
      </c>
      <c r="Y30" s="1" t="n">
        <v>3685.1877878</v>
      </c>
      <c r="Z30" s="1" t="n">
        <v>324.033371015</v>
      </c>
      <c r="AA30" s="1" t="n">
        <v>706.49604307</v>
      </c>
      <c r="AB30" s="1" t="n">
        <v>3155.468742793</v>
      </c>
      <c r="AC30" s="1" t="n">
        <v>4399.739848944</v>
      </c>
      <c r="AD30" s="1" t="n">
        <v>66.655162105</v>
      </c>
      <c r="AE30" s="1" t="n">
        <v>373.375722792</v>
      </c>
      <c r="AF30" s="1" t="n">
        <v>731.506759463</v>
      </c>
      <c r="AG30" s="1" t="n">
        <v>72.9337367018</v>
      </c>
      <c r="AH30" s="1" t="n">
        <v>30.529</v>
      </c>
      <c r="AI30" s="1" t="n">
        <v>2.8</v>
      </c>
      <c r="AJ30" s="1" t="n">
        <v>3498.248739806</v>
      </c>
      <c r="AK30" s="1" t="n">
        <v>887.592717154</v>
      </c>
      <c r="AL30" s="1" t="n">
        <v>2720.693459054</v>
      </c>
      <c r="AM30" s="1" t="n">
        <v>1729.465200773</v>
      </c>
      <c r="AO30" s="3" t="n">
        <f aca="false">D30/K30</f>
        <v>0.327999058909325</v>
      </c>
      <c r="AP30" s="3" t="n">
        <f aca="false">(1+D30/K30)</f>
        <v>1.32799905890932</v>
      </c>
      <c r="AQ30" s="3" t="n">
        <f aca="false">LN(AO30)</f>
        <v>-1.114744539781</v>
      </c>
      <c r="AR30" s="3" t="n">
        <f aca="false">LN(AP30)</f>
        <v>0.283673342401374</v>
      </c>
    </row>
    <row r="31" customFormat="false" ht="15" hidden="false" customHeight="false" outlineLevel="0" collapsed="false">
      <c r="A31" s="5" t="n">
        <v>39965</v>
      </c>
      <c r="B31" s="1" t="n">
        <v>81.8993781863333</v>
      </c>
      <c r="C31" s="1" t="n">
        <v>213.374676943667</v>
      </c>
      <c r="D31" s="1" t="n">
        <v>4969.441425669</v>
      </c>
      <c r="E31" s="1" t="n">
        <v>4397.17589119</v>
      </c>
      <c r="F31" s="1" t="n">
        <v>-424.653020826</v>
      </c>
      <c r="G31" s="1" t="n">
        <v>3163.953313289</v>
      </c>
      <c r="H31" s="1" t="n">
        <v>3252.319163695</v>
      </c>
      <c r="I31" s="1" t="n">
        <v>-93.58048736</v>
      </c>
      <c r="J31" s="1" t="n">
        <v>55.3666348536667</v>
      </c>
      <c r="K31" s="1" t="n">
        <v>14969.2777297948</v>
      </c>
      <c r="L31" s="1" t="n">
        <v>71.0363670686667</v>
      </c>
      <c r="M31" s="1" t="n">
        <v>87.15921</v>
      </c>
      <c r="N31" s="1" t="n">
        <v>78.9483677050607</v>
      </c>
      <c r="O31" s="1" t="n">
        <v>43.2132237564117</v>
      </c>
      <c r="P31" s="1" t="n">
        <v>44.2937400021484</v>
      </c>
      <c r="Q31" s="1" t="n">
        <v>90.0756307551872</v>
      </c>
      <c r="R31" s="1" t="n">
        <v>42.2944504803241</v>
      </c>
      <c r="S31" s="1" t="n">
        <v>40.7618226666076</v>
      </c>
      <c r="T31" s="1" t="n">
        <v>83.4616926363802</v>
      </c>
      <c r="V31" s="1" t="n">
        <v>40.7743760330854</v>
      </c>
      <c r="W31" s="1" t="n">
        <v>86.2539</v>
      </c>
      <c r="X31" s="1" t="n">
        <v>3319.197192872</v>
      </c>
      <c r="Y31" s="1" t="n">
        <v>3336.62842895</v>
      </c>
      <c r="Z31" s="1" t="n">
        <v>324.347737089</v>
      </c>
      <c r="AA31" s="1" t="n">
        <v>640.976283521</v>
      </c>
      <c r="AB31" s="1" t="n">
        <v>3648.740020121</v>
      </c>
      <c r="AC31" s="1" t="n">
        <v>3975.336063281</v>
      </c>
      <c r="AD31" s="1" t="n">
        <v>50.212950475</v>
      </c>
      <c r="AE31" s="1" t="n">
        <v>379.404720211</v>
      </c>
      <c r="AF31" s="1" t="n">
        <v>749.106260228</v>
      </c>
      <c r="AG31" s="1" t="n">
        <v>67.6195141511716</v>
      </c>
      <c r="AH31" s="1" t="n">
        <v>1939.46</v>
      </c>
      <c r="AI31" s="1" t="n">
        <v>2.8</v>
      </c>
      <c r="AJ31" s="1" t="n">
        <v>4507.84656215</v>
      </c>
      <c r="AK31" s="1" t="n">
        <v>1004.311634917</v>
      </c>
      <c r="AL31" s="1" t="n">
        <v>3053.073956888</v>
      </c>
      <c r="AM31" s="1" t="n">
        <v>1899.991700839</v>
      </c>
      <c r="AO31" s="3" t="n">
        <f aca="false">D31/K31</f>
        <v>0.331976032202131</v>
      </c>
      <c r="AP31" s="3" t="n">
        <f aca="false">(1+D31/K31)</f>
        <v>1.33197603220213</v>
      </c>
      <c r="AQ31" s="3" t="n">
        <f aca="false">LN(AO31)</f>
        <v>-1.10269250483388</v>
      </c>
      <c r="AR31" s="3" t="n">
        <f aca="false">LN(AP31)</f>
        <v>0.286663578114062</v>
      </c>
    </row>
    <row r="32" customFormat="false" ht="15" hidden="false" customHeight="false" outlineLevel="0" collapsed="false">
      <c r="A32" s="5" t="n">
        <v>40057</v>
      </c>
      <c r="B32" s="1" t="n">
        <v>82.2376851306667</v>
      </c>
      <c r="C32" s="1" t="n">
        <v>214.871058906333</v>
      </c>
      <c r="D32" s="1" t="n">
        <v>4941.555758594</v>
      </c>
      <c r="E32" s="1" t="n">
        <v>4781.650992941</v>
      </c>
      <c r="F32" s="1" t="n">
        <v>-73.691801247</v>
      </c>
      <c r="G32" s="1" t="n">
        <v>3708.166395518</v>
      </c>
      <c r="H32" s="1" t="n">
        <v>3397.648821918</v>
      </c>
      <c r="I32" s="1" t="n">
        <v>339.459450072</v>
      </c>
      <c r="J32" s="1" t="n">
        <v>65.508032556</v>
      </c>
      <c r="K32" s="1" t="n">
        <v>15308.3915025344</v>
      </c>
      <c r="L32" s="1" t="n">
        <v>71.329801486</v>
      </c>
      <c r="M32" s="1" t="n">
        <v>87.26274</v>
      </c>
      <c r="N32" s="1" t="n">
        <v>81.1350713220754</v>
      </c>
      <c r="O32" s="1" t="n">
        <v>44.4101391004252</v>
      </c>
      <c r="P32" s="1" t="n">
        <v>44.4767069570272</v>
      </c>
      <c r="Q32" s="1" t="n">
        <v>90.7073249705859</v>
      </c>
      <c r="R32" s="1" t="n">
        <v>43.4659177383994</v>
      </c>
      <c r="S32" s="1" t="n">
        <v>40.9302001070373</v>
      </c>
      <c r="T32" s="1" t="n">
        <v>84.0470037577542</v>
      </c>
      <c r="V32" s="1" t="n">
        <v>40.5679095731158</v>
      </c>
      <c r="W32" s="1" t="n">
        <v>86.84821</v>
      </c>
      <c r="X32" s="1" t="n">
        <v>3992.232632444</v>
      </c>
      <c r="Y32" s="1" t="n">
        <v>3434.9553583</v>
      </c>
      <c r="Z32" s="1" t="n">
        <v>339.479932815</v>
      </c>
      <c r="AA32" s="1" t="n">
        <v>620.35016546</v>
      </c>
      <c r="AB32" s="1" t="n">
        <v>4333.194915387</v>
      </c>
      <c r="AC32" s="1" t="n">
        <v>4052.676814824</v>
      </c>
      <c r="AD32" s="1" t="n">
        <v>43.408749556</v>
      </c>
      <c r="AE32" s="1" t="n">
        <v>331.685283062</v>
      </c>
      <c r="AF32" s="1" t="n">
        <v>775.540864845</v>
      </c>
      <c r="AG32" s="1" t="n">
        <v>53.19404756</v>
      </c>
      <c r="AH32" s="1" t="n">
        <v>19.8486</v>
      </c>
      <c r="AI32" s="1" t="n">
        <v>2.8</v>
      </c>
      <c r="AJ32" s="1" t="n">
        <v>4796.495612965</v>
      </c>
      <c r="AK32" s="1" t="n">
        <v>1440.311002506</v>
      </c>
      <c r="AL32" s="1" t="n">
        <v>3153.881077782</v>
      </c>
      <c r="AM32" s="1" t="n">
        <v>1925.666616061</v>
      </c>
      <c r="AO32" s="3" t="n">
        <f aca="false">D32/K32</f>
        <v>0.322800456062016</v>
      </c>
      <c r="AP32" s="3" t="n">
        <f aca="false">(1+D32/K32)</f>
        <v>1.32280045606202</v>
      </c>
      <c r="AQ32" s="3" t="n">
        <f aca="false">LN(AO32)</f>
        <v>-1.13072092975582</v>
      </c>
      <c r="AR32" s="3" t="n">
        <f aca="false">LN(AP32)</f>
        <v>0.279751046895638</v>
      </c>
    </row>
    <row r="33" customFormat="false" ht="15" hidden="false" customHeight="false" outlineLevel="0" collapsed="false">
      <c r="A33" s="5" t="n">
        <v>40148</v>
      </c>
      <c r="B33" s="1" t="n">
        <v>83.200761267</v>
      </c>
      <c r="C33" s="1" t="n">
        <v>217.048568435667</v>
      </c>
      <c r="D33" s="1" t="n">
        <v>5799.813748564</v>
      </c>
      <c r="E33" s="1" t="n">
        <v>5604.065150409</v>
      </c>
      <c r="F33" s="1" t="n">
        <v>-178.45595599</v>
      </c>
      <c r="G33" s="1" t="n">
        <v>4213.96120663</v>
      </c>
      <c r="H33" s="1" t="n">
        <v>3761.348448523</v>
      </c>
      <c r="I33" s="1" t="n">
        <v>510.104424852</v>
      </c>
      <c r="J33" s="1" t="n">
        <v>79.2907544586667</v>
      </c>
      <c r="K33" s="1" t="n">
        <v>15616.8171646974</v>
      </c>
      <c r="L33" s="1" t="n">
        <v>72.165136643</v>
      </c>
      <c r="M33" s="1" t="n">
        <v>87.53882</v>
      </c>
      <c r="N33" s="1" t="n">
        <v>83.0718598568098</v>
      </c>
      <c r="O33" s="1" t="n">
        <v>45.4702607818892</v>
      </c>
      <c r="P33" s="1" t="n">
        <v>44.9975685915071</v>
      </c>
      <c r="Q33" s="1" t="n">
        <v>91.6265556269112</v>
      </c>
      <c r="R33" s="1" t="n">
        <v>44.5034997575642</v>
      </c>
      <c r="S33" s="1" t="n">
        <v>41.409529004924</v>
      </c>
      <c r="T33" s="1" t="n">
        <v>84.8987385261587</v>
      </c>
      <c r="V33" s="1" t="n">
        <v>40.8608077989986</v>
      </c>
      <c r="W33" s="1" t="n">
        <v>87.51754</v>
      </c>
      <c r="X33" s="1" t="n">
        <v>4291.521600927</v>
      </c>
      <c r="Y33" s="1" t="n">
        <v>3816.559696396</v>
      </c>
      <c r="Z33" s="1" t="n">
        <v>347.275483626</v>
      </c>
      <c r="AA33" s="1" t="n">
        <v>651.600738706</v>
      </c>
      <c r="AB33" s="1" t="n">
        <v>4636.419541132</v>
      </c>
      <c r="AC33" s="1" t="n">
        <v>4466.592066224</v>
      </c>
      <c r="AD33" s="1" t="n">
        <v>39.565095348</v>
      </c>
      <c r="AE33" s="1" t="n">
        <v>371.087572467</v>
      </c>
      <c r="AF33" s="1" t="n">
        <v>777.14107262</v>
      </c>
      <c r="AG33" s="1" t="n">
        <v>117.75872193</v>
      </c>
      <c r="AH33" s="1" t="n">
        <v>67.65115248</v>
      </c>
      <c r="AI33" s="1" t="n">
        <v>2.8</v>
      </c>
      <c r="AJ33" s="1" t="n">
        <v>5654.983007558</v>
      </c>
      <c r="AK33" s="1" t="n">
        <v>1933.571266925</v>
      </c>
      <c r="AL33" s="1" t="n">
        <v>3460.498231424</v>
      </c>
      <c r="AM33" s="1" t="n">
        <v>2002.784283006</v>
      </c>
      <c r="AO33" s="3" t="n">
        <f aca="false">D33/K33</f>
        <v>0.371382573503823</v>
      </c>
      <c r="AP33" s="3" t="n">
        <f aca="false">(1+D33/K33)</f>
        <v>1.37138257350382</v>
      </c>
      <c r="AQ33" s="3" t="n">
        <f aca="false">LN(AO33)</f>
        <v>-0.990522552263383</v>
      </c>
      <c r="AR33" s="3" t="n">
        <f aca="false">LN(AP33)</f>
        <v>0.315819408702532</v>
      </c>
    </row>
    <row r="34" customFormat="false" ht="15" hidden="false" customHeight="false" outlineLevel="0" collapsed="false">
      <c r="A34" s="5" t="n">
        <v>40238</v>
      </c>
      <c r="B34" s="1" t="n">
        <v>84.1268523846667</v>
      </c>
      <c r="C34" s="1" t="n">
        <v>217.780001607333</v>
      </c>
      <c r="D34" s="1" t="n">
        <v>5419.557224896</v>
      </c>
      <c r="E34" s="1" t="n">
        <v>5967.156693341</v>
      </c>
      <c r="F34" s="1" t="n">
        <v>215.388189231</v>
      </c>
      <c r="G34" s="1" t="n">
        <v>4259.489292327</v>
      </c>
      <c r="H34" s="1" t="n">
        <v>4403.665715063</v>
      </c>
      <c r="I34" s="1" t="n">
        <v>-186.798934031</v>
      </c>
      <c r="J34" s="1" t="n">
        <v>81.4330392096667</v>
      </c>
      <c r="K34" s="1" t="n">
        <v>16404.5686618895</v>
      </c>
      <c r="L34" s="1" t="n">
        <v>72.9683924186667</v>
      </c>
      <c r="M34" s="1" t="n">
        <v>87.79026</v>
      </c>
      <c r="N34" s="1" t="n">
        <v>85.5999951535037</v>
      </c>
      <c r="O34" s="1" t="n">
        <v>46.8540623656111</v>
      </c>
      <c r="P34" s="1" t="n">
        <v>45.4984275734996</v>
      </c>
      <c r="Q34" s="1" t="n">
        <v>91.9353284636736</v>
      </c>
      <c r="R34" s="1" t="n">
        <v>45.8578797938057</v>
      </c>
      <c r="S34" s="1" t="n">
        <v>41.8704502322569</v>
      </c>
      <c r="T34" s="1" t="n">
        <v>85.1848392548492</v>
      </c>
      <c r="V34" s="1" t="n">
        <v>42.1304780614643</v>
      </c>
      <c r="W34" s="1" t="n">
        <v>87.85561</v>
      </c>
      <c r="X34" s="1" t="n">
        <v>4314.69125032</v>
      </c>
      <c r="Y34" s="1" t="n">
        <v>4417.839529613</v>
      </c>
      <c r="Z34" s="1" t="n">
        <v>353.755675975</v>
      </c>
      <c r="AA34" s="1" t="n">
        <v>699.788061867</v>
      </c>
      <c r="AB34" s="1" t="n">
        <v>4660.231689987</v>
      </c>
      <c r="AC34" s="1" t="n">
        <v>5125.882303621</v>
      </c>
      <c r="AD34" s="1" t="n">
        <v>19.892420012</v>
      </c>
      <c r="AE34" s="1" t="n">
        <v>272.041044116</v>
      </c>
      <c r="AF34" s="1" t="n">
        <v>713.376850456</v>
      </c>
      <c r="AG34" s="1" t="n">
        <v>105.14129841</v>
      </c>
      <c r="AH34" s="1" t="n">
        <v>25.8336</v>
      </c>
      <c r="AI34" s="1" t="n">
        <v>2.9</v>
      </c>
      <c r="AJ34" s="1" t="n">
        <v>5828.776663407</v>
      </c>
      <c r="AK34" s="1" t="n">
        <v>2025.899355832</v>
      </c>
      <c r="AL34" s="1" t="n">
        <v>3702.220078237</v>
      </c>
      <c r="AM34" s="1" t="n">
        <v>2212.100978571</v>
      </c>
      <c r="AO34" s="3" t="n">
        <f aca="false">D34/K34</f>
        <v>0.330368773272687</v>
      </c>
      <c r="AP34" s="3" t="n">
        <f aca="false">(1+D34/K34)</f>
        <v>1.33036877327269</v>
      </c>
      <c r="AQ34" s="3" t="n">
        <f aca="false">LN(AO34)</f>
        <v>-1.10754575368838</v>
      </c>
      <c r="AR34" s="3" t="n">
        <f aca="false">LN(AP34)</f>
        <v>0.285456176937929</v>
      </c>
    </row>
    <row r="35" customFormat="false" ht="15" hidden="false" customHeight="false" outlineLevel="0" collapsed="false">
      <c r="A35" s="5" t="n">
        <v>40330</v>
      </c>
      <c r="B35" s="1" t="n">
        <v>84.5847422723333</v>
      </c>
      <c r="C35" s="1" t="n">
        <v>217.215298093333</v>
      </c>
      <c r="D35" s="1" t="n">
        <v>6222.63768013</v>
      </c>
      <c r="E35" s="1" t="n">
        <v>5419.627449743</v>
      </c>
      <c r="F35" s="1" t="n">
        <v>-603.135610426</v>
      </c>
      <c r="G35" s="1" t="n">
        <v>4258.70496151</v>
      </c>
      <c r="H35" s="1" t="n">
        <v>4777.4267688</v>
      </c>
      <c r="I35" s="1" t="n">
        <v>-477.913815232</v>
      </c>
      <c r="J35" s="1" t="n">
        <v>74.3674891196667</v>
      </c>
      <c r="K35" s="1" t="n">
        <v>16733.5742025598</v>
      </c>
      <c r="L35" s="1" t="n">
        <v>73.365548476</v>
      </c>
      <c r="M35" s="1" t="n">
        <v>88.21917</v>
      </c>
      <c r="N35" s="1" t="n">
        <v>86.2262740801234</v>
      </c>
      <c r="O35" s="1" t="n">
        <v>47.196862757521</v>
      </c>
      <c r="P35" s="1" t="n">
        <v>45.7460687166079</v>
      </c>
      <c r="Q35" s="1" t="n">
        <v>91.6969401697025</v>
      </c>
      <c r="R35" s="1" t="n">
        <v>46.1933917723148</v>
      </c>
      <c r="S35" s="1" t="n">
        <v>42.0983448367732</v>
      </c>
      <c r="T35" s="1" t="n">
        <v>84.9639549784616</v>
      </c>
      <c r="V35" s="1" t="n">
        <v>43.0185134347033</v>
      </c>
      <c r="W35" s="1" t="n">
        <v>87.99104</v>
      </c>
      <c r="X35" s="1" t="n">
        <v>4447.770923155</v>
      </c>
      <c r="Y35" s="1" t="n">
        <v>4872.475489094</v>
      </c>
      <c r="Z35" s="1" t="n">
        <v>365.452584914</v>
      </c>
      <c r="AA35" s="1" t="n">
        <v>754.322297616</v>
      </c>
      <c r="AB35" s="1" t="n">
        <v>4821.865730419</v>
      </c>
      <c r="AC35" s="1" t="n">
        <v>5619.172616729</v>
      </c>
      <c r="AD35" s="1" t="n">
        <v>22.376843244</v>
      </c>
      <c r="AE35" s="1" t="n">
        <v>266.803440364</v>
      </c>
      <c r="AF35" s="1" t="n">
        <v>687.508026024</v>
      </c>
      <c r="AG35" s="1" t="n">
        <v>103.59173654</v>
      </c>
      <c r="AH35" s="1" t="n">
        <v>27.33436</v>
      </c>
      <c r="AI35" s="1" t="n">
        <v>2.6</v>
      </c>
      <c r="AJ35" s="1" t="n">
        <v>5516.792772896</v>
      </c>
      <c r="AK35" s="1" t="n">
        <v>1788.66667115</v>
      </c>
      <c r="AL35" s="1" t="n">
        <v>3340.68997097</v>
      </c>
      <c r="AM35" s="1" t="n">
        <v>2098.566902423</v>
      </c>
      <c r="AO35" s="3" t="n">
        <f aca="false">D35/K35</f>
        <v>0.371865424852157</v>
      </c>
      <c r="AP35" s="3" t="n">
        <f aca="false">(1+D35/K35)</f>
        <v>1.37186542485216</v>
      </c>
      <c r="AQ35" s="3" t="n">
        <f aca="false">LN(AO35)</f>
        <v>-0.989223251310456</v>
      </c>
      <c r="AR35" s="3" t="n">
        <f aca="false">LN(AP35)</f>
        <v>0.316171437650414</v>
      </c>
    </row>
    <row r="36" customFormat="false" ht="15" hidden="false" customHeight="false" outlineLevel="0" collapsed="false">
      <c r="A36" s="5" t="n">
        <v>40422</v>
      </c>
      <c r="B36" s="1" t="n">
        <v>85.1949601713333</v>
      </c>
      <c r="C36" s="1" t="n">
        <v>217.494064395333</v>
      </c>
      <c r="D36" s="1" t="n">
        <v>6110.977792656</v>
      </c>
      <c r="E36" s="1" t="n">
        <v>5504.15402103</v>
      </c>
      <c r="F36" s="1" t="n">
        <v>-596.185513599</v>
      </c>
      <c r="G36" s="1" t="n">
        <v>4039.477758959</v>
      </c>
      <c r="H36" s="1" t="n">
        <v>5023.814717854</v>
      </c>
      <c r="I36" s="1" t="n">
        <v>-1004.920627941</v>
      </c>
      <c r="J36" s="1" t="n">
        <v>74.138646628</v>
      </c>
      <c r="K36" s="1" t="n">
        <v>17078.2181808435</v>
      </c>
      <c r="L36" s="1" t="n">
        <v>73.8948279846667</v>
      </c>
      <c r="M36" s="1" t="n">
        <v>88.48736</v>
      </c>
      <c r="N36" s="1" t="n">
        <v>86.3186909261157</v>
      </c>
      <c r="O36" s="1" t="n">
        <v>47.2474480952653</v>
      </c>
      <c r="P36" s="1" t="n">
        <v>46.0760936027733</v>
      </c>
      <c r="Q36" s="1" t="n">
        <v>91.8146207250787</v>
      </c>
      <c r="R36" s="1" t="n">
        <v>46.24290159538</v>
      </c>
      <c r="S36" s="1" t="n">
        <v>42.4020540264869</v>
      </c>
      <c r="T36" s="1" t="n">
        <v>85.0729946627773</v>
      </c>
      <c r="V36" s="1" t="n">
        <v>44.2616025848027</v>
      </c>
      <c r="W36" s="1" t="n">
        <v>88.16056</v>
      </c>
      <c r="X36" s="1" t="n">
        <v>4313.422205979</v>
      </c>
      <c r="Y36" s="1" t="n">
        <v>5089.021363461</v>
      </c>
      <c r="Z36" s="1" t="n">
        <v>371.596579902</v>
      </c>
      <c r="AA36" s="1" t="n">
        <v>770.084536853</v>
      </c>
      <c r="AB36" s="1" t="n">
        <v>4686.175098356</v>
      </c>
      <c r="AC36" s="1" t="n">
        <v>5862.91639455</v>
      </c>
      <c r="AD36" s="1" t="n">
        <v>18.756239143</v>
      </c>
      <c r="AE36" s="1" t="n">
        <v>261.920831008</v>
      </c>
      <c r="AF36" s="1" t="n">
        <v>743.197288579</v>
      </c>
      <c r="AG36" s="1" t="n">
        <v>108.70927984</v>
      </c>
      <c r="AH36" s="1" t="n">
        <v>25.65405736</v>
      </c>
      <c r="AI36" s="1" t="n">
        <v>2.6</v>
      </c>
      <c r="AJ36" s="1" t="n">
        <v>5543.194201178</v>
      </c>
      <c r="AK36" s="1" t="n">
        <v>1873.879949562</v>
      </c>
      <c r="AL36" s="1" t="n">
        <v>3381.743575725</v>
      </c>
      <c r="AM36" s="1" t="n">
        <v>2144.53156049</v>
      </c>
      <c r="AO36" s="3" t="n">
        <f aca="false">D36/K36</f>
        <v>0.357822913839491</v>
      </c>
      <c r="AP36" s="3" t="n">
        <f aca="false">(1+D36/K36)</f>
        <v>1.35782291383949</v>
      </c>
      <c r="AQ36" s="3" t="n">
        <f aca="false">LN(AO36)</f>
        <v>-1.02771706904276</v>
      </c>
      <c r="AR36" s="3" t="n">
        <f aca="false">LN(AP36)</f>
        <v>0.30588261845335</v>
      </c>
    </row>
    <row r="37" customFormat="false" ht="15" hidden="false" customHeight="false" outlineLevel="0" collapsed="false">
      <c r="A37" s="5" t="n">
        <v>40513</v>
      </c>
      <c r="B37" s="1" t="n">
        <v>85.9785088256667</v>
      </c>
      <c r="C37" s="1" t="n">
        <v>219.776532372</v>
      </c>
      <c r="D37" s="1" t="n">
        <v>6239.190878294</v>
      </c>
      <c r="E37" s="1" t="n">
        <v>6324.414609772</v>
      </c>
      <c r="F37" s="1" t="n">
        <v>243.450715338</v>
      </c>
      <c r="G37" s="1" t="n">
        <v>4979.296734531</v>
      </c>
      <c r="H37" s="1" t="n">
        <v>5261.261086377</v>
      </c>
      <c r="I37" s="1" t="n">
        <v>-328.367993368</v>
      </c>
      <c r="J37" s="1" t="n">
        <v>88.2815786026667</v>
      </c>
      <c r="K37" s="1" t="n">
        <v>17934.9682014812</v>
      </c>
      <c r="L37" s="1" t="n">
        <v>74.574447917</v>
      </c>
      <c r="M37" s="1" t="n">
        <v>89.00107</v>
      </c>
      <c r="N37" s="1" t="n">
        <v>88.0503642970596</v>
      </c>
      <c r="O37" s="1" t="n">
        <v>48.1952978232189</v>
      </c>
      <c r="P37" s="1" t="n">
        <v>46.4998611714978</v>
      </c>
      <c r="Q37" s="1" t="n">
        <v>92.7781593493506</v>
      </c>
      <c r="R37" s="1" t="n">
        <v>47.1705987190127</v>
      </c>
      <c r="S37" s="1" t="n">
        <v>42.7920309958594</v>
      </c>
      <c r="T37" s="1" t="n">
        <v>85.9657840202099</v>
      </c>
      <c r="V37" s="1" t="n">
        <v>44.6653602134362</v>
      </c>
      <c r="W37" s="1" t="n">
        <v>88.72564</v>
      </c>
      <c r="X37" s="1" t="n">
        <v>5090.891356519</v>
      </c>
      <c r="Y37" s="1" t="n">
        <v>5237.287986579</v>
      </c>
      <c r="Z37" s="1" t="n">
        <v>380.405959534</v>
      </c>
      <c r="AA37" s="1" t="n">
        <v>771.767380841</v>
      </c>
      <c r="AB37" s="1" t="n">
        <v>5471.891841409</v>
      </c>
      <c r="AC37" s="1" t="n">
        <v>6001.867707592</v>
      </c>
      <c r="AD37" s="1" t="n">
        <v>16.827207157</v>
      </c>
      <c r="AE37" s="1" t="n">
        <v>305.256444473</v>
      </c>
      <c r="AF37" s="1" t="n">
        <v>784.903818005</v>
      </c>
      <c r="AG37" s="1" t="n">
        <v>129.25824419</v>
      </c>
      <c r="AH37" s="1" t="n">
        <v>37.25869368</v>
      </c>
      <c r="AI37" s="1" t="n">
        <v>2.6</v>
      </c>
      <c r="AJ37" s="1" t="n">
        <v>6354.665970359</v>
      </c>
      <c r="AK37" s="1" t="n">
        <v>2307.401141681</v>
      </c>
      <c r="AL37" s="1" t="n">
        <v>3615.684205132</v>
      </c>
      <c r="AM37" s="1" t="n">
        <v>2237.00476527</v>
      </c>
      <c r="AO37" s="3" t="n">
        <f aca="false">D37/K37</f>
        <v>0.347878558144236</v>
      </c>
      <c r="AP37" s="3" t="n">
        <f aca="false">(1+D37/K37)</f>
        <v>1.34787855814424</v>
      </c>
      <c r="AQ37" s="3" t="n">
        <f aca="false">LN(AO37)</f>
        <v>-1.05590183096206</v>
      </c>
      <c r="AR37" s="3" t="n">
        <f aca="false">LN(AP37)</f>
        <v>0.298531918034281</v>
      </c>
    </row>
    <row r="38" customFormat="false" ht="15" hidden="false" customHeight="false" outlineLevel="0" collapsed="false">
      <c r="A38" s="5" t="n">
        <v>40603</v>
      </c>
      <c r="B38" s="1" t="n">
        <v>86.9434178746667</v>
      </c>
      <c r="C38" s="1" t="n">
        <v>222.311344358</v>
      </c>
      <c r="D38" s="1" t="n">
        <v>7272.27853875</v>
      </c>
      <c r="E38" s="1" t="n">
        <v>7251.201768548</v>
      </c>
      <c r="F38" s="1" t="n">
        <v>-377.146749909</v>
      </c>
      <c r="G38" s="1" t="n">
        <v>5420.529274254</v>
      </c>
      <c r="H38" s="1" t="n">
        <v>5387.268640899</v>
      </c>
      <c r="I38" s="1" t="n">
        <v>37.01299523</v>
      </c>
      <c r="J38" s="1" t="n">
        <v>95.3006213456667</v>
      </c>
      <c r="K38" s="1" t="n">
        <v>18738.7801750869</v>
      </c>
      <c r="L38" s="1" t="n">
        <v>75.4113728716667</v>
      </c>
      <c r="M38" s="1" t="n">
        <v>89.45661</v>
      </c>
      <c r="N38" s="1" t="n">
        <v>90.3639453525977</v>
      </c>
      <c r="O38" s="1" t="n">
        <v>49.4616608746383</v>
      </c>
      <c r="P38" s="1" t="n">
        <v>47.0217141023575</v>
      </c>
      <c r="Q38" s="1" t="n">
        <v>93.848224418717</v>
      </c>
      <c r="R38" s="1" t="n">
        <v>48.4100371295854</v>
      </c>
      <c r="S38" s="1" t="n">
        <v>43.2722721456183</v>
      </c>
      <c r="T38" s="1" t="n">
        <v>86.9572779589326</v>
      </c>
      <c r="V38" s="1" t="n">
        <v>44.9798535733602</v>
      </c>
      <c r="W38" s="1" t="n">
        <v>89.47097</v>
      </c>
      <c r="X38" s="1" t="n">
        <v>5509.389311331</v>
      </c>
      <c r="Y38" s="1" t="n">
        <v>5481.552326939</v>
      </c>
      <c r="Z38" s="1" t="n">
        <v>376.749430461</v>
      </c>
      <c r="AA38" s="1" t="n">
        <v>779.772410696</v>
      </c>
      <c r="AB38" s="1" t="n">
        <v>5873.333726502</v>
      </c>
      <c r="AC38" s="1" t="n">
        <v>6275.104753863</v>
      </c>
      <c r="AD38" s="1" t="n">
        <v>19.701422045</v>
      </c>
      <c r="AE38" s="1" t="n">
        <v>308.892259886</v>
      </c>
      <c r="AF38" s="1" t="n">
        <v>788.615701292</v>
      </c>
      <c r="AG38" s="1" t="n">
        <v>56.0675911276</v>
      </c>
      <c r="AH38" s="1" t="n">
        <v>35.641</v>
      </c>
      <c r="AI38" s="1" t="n">
        <v>2.6</v>
      </c>
      <c r="AJ38" s="1" t="n">
        <v>6970.576439136</v>
      </c>
      <c r="AK38" s="1" t="n">
        <v>2875.58254816</v>
      </c>
      <c r="AL38" s="1" t="n">
        <v>3740.95627158</v>
      </c>
      <c r="AM38" s="1" t="n">
        <v>2296.647609448</v>
      </c>
      <c r="AO38" s="3" t="n">
        <f aca="false">D38/K38</f>
        <v>0.388087083086574</v>
      </c>
      <c r="AP38" s="3" t="n">
        <f aca="false">(1+D38/K38)</f>
        <v>1.38808708308657</v>
      </c>
      <c r="AQ38" s="3" t="n">
        <f aca="false">LN(AO38)</f>
        <v>-0.946525523597185</v>
      </c>
      <c r="AR38" s="3" t="n">
        <f aca="false">LN(AP38)</f>
        <v>0.327926600092461</v>
      </c>
    </row>
    <row r="39" customFormat="false" ht="15" hidden="false" customHeight="false" outlineLevel="0" collapsed="false">
      <c r="A39" s="5" t="n">
        <v>40695</v>
      </c>
      <c r="B39" s="1" t="n">
        <v>88.129961436</v>
      </c>
      <c r="C39" s="1" t="n">
        <v>224.747124541333</v>
      </c>
      <c r="D39" s="1" t="n">
        <v>7816.174835286</v>
      </c>
      <c r="E39" s="1" t="n">
        <v>7588.014904374</v>
      </c>
      <c r="F39" s="1" t="n">
        <v>81.691798502</v>
      </c>
      <c r="G39" s="1" t="n">
        <v>5542.110697316</v>
      </c>
      <c r="H39" s="1" t="n">
        <v>5814.5086584</v>
      </c>
      <c r="I39" s="1" t="n">
        <v>-197.580267058</v>
      </c>
      <c r="J39" s="1" t="n">
        <v>100.035984799</v>
      </c>
      <c r="K39" s="1" t="n">
        <v>19705.4437208546</v>
      </c>
      <c r="L39" s="1" t="n">
        <v>76.4405350683334</v>
      </c>
      <c r="M39" s="1" t="n">
        <v>90.04822</v>
      </c>
      <c r="N39" s="1" t="n">
        <v>92.72428446007</v>
      </c>
      <c r="O39" s="1" t="n">
        <v>50.7536174401402</v>
      </c>
      <c r="P39" s="1" t="n">
        <v>47.6634338952398</v>
      </c>
      <c r="Q39" s="1" t="n">
        <v>94.8764834395973</v>
      </c>
      <c r="R39" s="1" t="n">
        <v>49.6745249005133</v>
      </c>
      <c r="S39" s="1" t="n">
        <v>43.8628221510558</v>
      </c>
      <c r="T39" s="1" t="n">
        <v>87.9100355209034</v>
      </c>
      <c r="V39" s="1" t="n">
        <v>45.7578829148625</v>
      </c>
      <c r="W39" s="1" t="n">
        <v>90.35171</v>
      </c>
      <c r="X39" s="1" t="n">
        <v>5778.175716347</v>
      </c>
      <c r="Y39" s="1" t="n">
        <v>5892.481574896</v>
      </c>
      <c r="Z39" s="1" t="n">
        <v>388.292622879</v>
      </c>
      <c r="AA39" s="1" t="n">
        <v>787.623962779</v>
      </c>
      <c r="AB39" s="1" t="n">
        <v>6177.422135199</v>
      </c>
      <c r="AC39" s="1" t="n">
        <v>6668.979931246</v>
      </c>
      <c r="AD39" s="1" t="n">
        <v>18.797333963</v>
      </c>
      <c r="AE39" s="1" t="n">
        <v>339.336713263</v>
      </c>
      <c r="AF39" s="1" t="n">
        <v>776.081270802</v>
      </c>
      <c r="AG39" s="1" t="n">
        <v>62.44881546</v>
      </c>
      <c r="AH39" s="1" t="n">
        <v>30.45</v>
      </c>
      <c r="AI39" s="1" t="n">
        <v>2.6</v>
      </c>
      <c r="AJ39" s="1" t="n">
        <v>7687.33216565</v>
      </c>
      <c r="AK39" s="1" t="n">
        <v>3271.431688285</v>
      </c>
      <c r="AL39" s="1" t="n">
        <v>4008.03072298</v>
      </c>
      <c r="AM39" s="1" t="n">
        <v>2392.973033399</v>
      </c>
      <c r="AO39" s="3" t="n">
        <f aca="false">D39/K39</f>
        <v>0.396650537080472</v>
      </c>
      <c r="AP39" s="3" t="n">
        <f aca="false">(1+D39/K39)</f>
        <v>1.39665053708047</v>
      </c>
      <c r="AQ39" s="3" t="n">
        <f aca="false">LN(AO39)</f>
        <v>-0.924699645193765</v>
      </c>
      <c r="AR39" s="3" t="n">
        <f aca="false">LN(AP39)</f>
        <v>0.334076896569517</v>
      </c>
    </row>
    <row r="40" customFormat="false" ht="15" hidden="false" customHeight="false" outlineLevel="0" collapsed="false">
      <c r="A40" s="5" t="n">
        <v>40787</v>
      </c>
      <c r="B40" s="1" t="n">
        <v>89.3810996773333</v>
      </c>
      <c r="C40" s="1" t="n">
        <v>225.757760357333</v>
      </c>
      <c r="D40" s="1" t="n">
        <v>7981.145812175</v>
      </c>
      <c r="E40" s="1" t="n">
        <v>7924.464730963</v>
      </c>
      <c r="F40" s="1" t="n">
        <v>32.442442243</v>
      </c>
      <c r="G40" s="1" t="n">
        <v>5525.00983237</v>
      </c>
      <c r="H40" s="1" t="n">
        <v>5781.056441495</v>
      </c>
      <c r="I40" s="1" t="n">
        <v>-262.911276758</v>
      </c>
      <c r="J40" s="1" t="n">
        <v>87.968773508</v>
      </c>
      <c r="K40" s="1" t="n">
        <v>19900.745068433</v>
      </c>
      <c r="L40" s="1" t="n">
        <v>77.5257242033333</v>
      </c>
      <c r="M40" s="1" t="n">
        <v>90.59052</v>
      </c>
      <c r="N40" s="1" t="n">
        <v>92.1166314296231</v>
      </c>
      <c r="O40" s="1" t="n">
        <v>50.4210121294254</v>
      </c>
      <c r="P40" s="1" t="n">
        <v>48.3400885072233</v>
      </c>
      <c r="Q40" s="1" t="n">
        <v>95.3031210326516</v>
      </c>
      <c r="R40" s="1" t="n">
        <v>49.3489912415848</v>
      </c>
      <c r="S40" s="1" t="n">
        <v>44.4855213247738</v>
      </c>
      <c r="T40" s="1" t="n">
        <v>88.3053466095973</v>
      </c>
      <c r="V40" s="1" t="n">
        <v>46.3823567422336</v>
      </c>
      <c r="W40" s="1" t="n">
        <v>90.76968</v>
      </c>
      <c r="X40" s="1" t="n">
        <v>5818.075296413</v>
      </c>
      <c r="Y40" s="1" t="n">
        <v>5848.679299013</v>
      </c>
      <c r="Z40" s="1" t="n">
        <v>402.341329402</v>
      </c>
      <c r="AA40" s="1" t="n">
        <v>800.063610703</v>
      </c>
      <c r="AB40" s="1" t="n">
        <v>6223.11186012</v>
      </c>
      <c r="AC40" s="1" t="n">
        <v>6655.853232829</v>
      </c>
      <c r="AD40" s="1" t="n">
        <v>20.646541747</v>
      </c>
      <c r="AE40" s="1" t="n">
        <v>337.020668028</v>
      </c>
      <c r="AF40" s="1" t="n">
        <v>726.395900101</v>
      </c>
      <c r="AG40" s="1" t="n">
        <v>69.80831194</v>
      </c>
      <c r="AH40" s="1" t="n">
        <v>22.422</v>
      </c>
      <c r="AI40" s="1" t="n">
        <v>2.6</v>
      </c>
      <c r="AJ40" s="1" t="n">
        <v>8089.865738268</v>
      </c>
      <c r="AK40" s="1" t="n">
        <v>3445.381156836</v>
      </c>
      <c r="AL40" s="1" t="n">
        <v>4227.762739789</v>
      </c>
      <c r="AM40" s="1" t="n">
        <v>2400.394858274</v>
      </c>
      <c r="AO40" s="3" t="n">
        <f aca="false">D40/K40</f>
        <v>0.40104758815462</v>
      </c>
      <c r="AP40" s="3" t="n">
        <f aca="false">(1+D40/K40)</f>
        <v>1.40104758815462</v>
      </c>
      <c r="AQ40" s="3" t="n">
        <f aca="false">LN(AO40)</f>
        <v>-0.913675185014441</v>
      </c>
      <c r="AR40" s="3" t="n">
        <f aca="false">LN(AP40)</f>
        <v>0.337220234054669</v>
      </c>
    </row>
    <row r="41" customFormat="false" ht="15" hidden="false" customHeight="false" outlineLevel="0" collapsed="false">
      <c r="A41" s="5" t="n">
        <v>40878</v>
      </c>
      <c r="B41" s="1" t="n">
        <v>90.625336205</v>
      </c>
      <c r="C41" s="1" t="n">
        <v>226.960563421667</v>
      </c>
      <c r="D41" s="1" t="n">
        <v>8110.159547835</v>
      </c>
      <c r="E41" s="1" t="n">
        <v>8600.822876792</v>
      </c>
      <c r="F41" s="1" t="n">
        <v>330.893672635</v>
      </c>
      <c r="G41" s="1" t="n">
        <v>5842.719487036</v>
      </c>
      <c r="H41" s="1" t="n">
        <v>6147.215215123</v>
      </c>
      <c r="I41" s="1" t="n">
        <v>-406.614360577</v>
      </c>
      <c r="J41" s="1" t="n">
        <v>97.0851380086667</v>
      </c>
      <c r="K41" s="1" t="n">
        <v>20641.6788748221</v>
      </c>
      <c r="L41" s="1" t="n">
        <v>78.604927058</v>
      </c>
      <c r="M41" s="1" t="n">
        <v>90.698</v>
      </c>
      <c r="N41" s="1" t="n">
        <v>94.6458960148059</v>
      </c>
      <c r="O41" s="1" t="n">
        <v>51.8054318411412</v>
      </c>
      <c r="P41" s="1" t="n">
        <v>49.0130104570366</v>
      </c>
      <c r="Q41" s="1" t="n">
        <v>95.8108815890868</v>
      </c>
      <c r="R41" s="1" t="n">
        <v>50.7039762635588</v>
      </c>
      <c r="S41" s="1" t="n">
        <v>45.1047854732838</v>
      </c>
      <c r="T41" s="1" t="n">
        <v>88.775824086566</v>
      </c>
      <c r="V41" s="1" t="n">
        <v>46.9560413432817</v>
      </c>
      <c r="W41" s="1" t="n">
        <v>91.06976</v>
      </c>
      <c r="X41" s="1" t="n">
        <v>5988.155263785</v>
      </c>
      <c r="Y41" s="1" t="n">
        <v>6164.78573156</v>
      </c>
      <c r="Z41" s="1" t="n">
        <v>419.326624234</v>
      </c>
      <c r="AA41" s="1" t="n">
        <v>783.693660852</v>
      </c>
      <c r="AB41" s="1" t="n">
        <v>6411.55603026</v>
      </c>
      <c r="AC41" s="1" t="n">
        <v>6935.854452455</v>
      </c>
      <c r="AD41" s="1" t="n">
        <v>25.343070805</v>
      </c>
      <c r="AE41" s="1" t="n">
        <v>352.495873085</v>
      </c>
      <c r="AF41" s="1" t="n">
        <v>698.311517251</v>
      </c>
      <c r="AG41" s="1" t="n">
        <v>74.05273952</v>
      </c>
      <c r="AH41" s="1" t="n">
        <v>20.66854704</v>
      </c>
      <c r="AI41" s="1" t="n">
        <v>2.6</v>
      </c>
      <c r="AJ41" s="1" t="n">
        <v>8466.192476144</v>
      </c>
      <c r="AK41" s="1" t="n">
        <v>3529.488426131</v>
      </c>
      <c r="AL41" s="1" t="n">
        <v>4549.347213611</v>
      </c>
      <c r="AM41" s="1" t="n">
        <v>2698.945287771</v>
      </c>
      <c r="AO41" s="3" t="n">
        <f aca="false">D41/K41</f>
        <v>0.392902127633012</v>
      </c>
      <c r="AP41" s="3" t="n">
        <f aca="false">(1+D41/K41)</f>
        <v>1.39290212763301</v>
      </c>
      <c r="AQ41" s="3" t="n">
        <f aca="false">LN(AO41)</f>
        <v>-0.934194737230013</v>
      </c>
      <c r="AR41" s="3" t="n">
        <f aca="false">LN(AP41)</f>
        <v>0.331389432195076</v>
      </c>
    </row>
    <row r="42" customFormat="false" ht="15" hidden="false" customHeight="false" outlineLevel="0" collapsed="false">
      <c r="A42" s="5" t="n">
        <v>40969</v>
      </c>
      <c r="B42" s="1" t="n">
        <v>91.8504084296667</v>
      </c>
      <c r="C42" s="1" t="n">
        <v>228.4976201</v>
      </c>
      <c r="D42" s="1" t="n">
        <v>9212.649264918</v>
      </c>
      <c r="E42" s="1" t="n">
        <v>9411.389457026</v>
      </c>
      <c r="F42" s="1" t="n">
        <v>153.400677654</v>
      </c>
      <c r="G42" s="1" t="n">
        <v>6284.590862712</v>
      </c>
      <c r="H42" s="1" t="n">
        <v>6103.339927361</v>
      </c>
      <c r="I42" s="1" t="n">
        <v>111.72184243</v>
      </c>
      <c r="J42" s="1" t="n">
        <v>103.587109337</v>
      </c>
      <c r="K42" s="1" t="n">
        <v>21539.8457399496</v>
      </c>
      <c r="L42" s="1" t="n">
        <v>79.6675075336667</v>
      </c>
      <c r="M42" s="1" t="n">
        <v>91.23044</v>
      </c>
      <c r="N42" s="1" t="n">
        <v>97.0848693379263</v>
      </c>
      <c r="O42" s="1" t="n">
        <v>53.1404296759497</v>
      </c>
      <c r="P42" s="1" t="n">
        <v>49.675567753623</v>
      </c>
      <c r="Q42" s="1" t="n">
        <v>96.4597465424659</v>
      </c>
      <c r="R42" s="1" t="n">
        <v>52.010590186508</v>
      </c>
      <c r="S42" s="1" t="n">
        <v>45.7145114306902</v>
      </c>
      <c r="T42" s="1" t="n">
        <v>89.377045158763</v>
      </c>
      <c r="U42" s="1" t="n">
        <v>4560.493669894</v>
      </c>
      <c r="V42" s="1" t="n">
        <v>48.3268011018705</v>
      </c>
      <c r="W42" s="1" t="n">
        <v>91.67284</v>
      </c>
      <c r="X42" s="1" t="n">
        <v>6377.622767979</v>
      </c>
      <c r="Y42" s="1" t="n">
        <v>6163.758474315</v>
      </c>
      <c r="Z42" s="1" t="n">
        <v>434.710781068</v>
      </c>
      <c r="AA42" s="1" t="n">
        <v>787.479213033</v>
      </c>
      <c r="AB42" s="1" t="n">
        <v>6790.5582095</v>
      </c>
      <c r="AC42" s="1" t="n">
        <v>6971.095587795</v>
      </c>
      <c r="AD42" s="1" t="n">
        <v>25.033591636</v>
      </c>
      <c r="AE42" s="1" t="n">
        <v>356.872221488</v>
      </c>
      <c r="AF42" s="1" t="n">
        <v>734.239051001</v>
      </c>
      <c r="AG42" s="1" t="n">
        <v>63.0573080949</v>
      </c>
      <c r="AH42" s="1" t="n">
        <v>36.547</v>
      </c>
      <c r="AI42" s="1" t="n">
        <v>2.7</v>
      </c>
      <c r="AJ42" s="1" t="n">
        <v>9027.002273008</v>
      </c>
      <c r="AK42" s="1" t="n">
        <v>3988.22536228</v>
      </c>
      <c r="AL42" s="1" t="n">
        <v>4890.183028691</v>
      </c>
      <c r="AM42" s="1" t="n">
        <v>2919.310757241</v>
      </c>
      <c r="AO42" s="3" t="n">
        <f aca="false">D42/K42</f>
        <v>0.427702657490785</v>
      </c>
      <c r="AP42" s="3" t="n">
        <f aca="false">(1+D42/K42)</f>
        <v>1.42770265749078</v>
      </c>
      <c r="AQ42" s="3" t="n">
        <f aca="false">LN(AO42)</f>
        <v>-0.84932705032274</v>
      </c>
      <c r="AR42" s="3" t="n">
        <f aca="false">LN(AP42)</f>
        <v>0.356066619190295</v>
      </c>
    </row>
    <row r="43" customFormat="false" ht="15" hidden="false" customHeight="false" outlineLevel="0" collapsed="false">
      <c r="A43" s="5" t="n">
        <v>41061</v>
      </c>
      <c r="B43" s="1" t="n">
        <v>92.6746220983333</v>
      </c>
      <c r="C43" s="1" t="n">
        <v>229.022975011333</v>
      </c>
      <c r="D43" s="1" t="n">
        <v>9398.91081573</v>
      </c>
      <c r="E43" s="1" t="n">
        <v>9058.098295251</v>
      </c>
      <c r="F43" s="1" t="n">
        <v>93.631264568</v>
      </c>
      <c r="G43" s="1" t="n">
        <v>5909.433108994</v>
      </c>
      <c r="H43" s="1" t="n">
        <v>6084.609843692</v>
      </c>
      <c r="I43" s="1" t="n">
        <v>-118.932556157</v>
      </c>
      <c r="J43" s="1" t="n">
        <v>91.796452991</v>
      </c>
      <c r="K43" s="1" t="n">
        <v>21799.6877350868</v>
      </c>
      <c r="L43" s="1" t="n">
        <v>80.382398733</v>
      </c>
      <c r="M43" s="1" t="n">
        <v>91.6071</v>
      </c>
      <c r="N43" s="1" t="n">
        <v>97.2578115739709</v>
      </c>
      <c r="O43" s="1" t="n">
        <v>53.2350914373056</v>
      </c>
      <c r="P43" s="1" t="n">
        <v>50.1213282313531</v>
      </c>
      <c r="Q43" s="1" t="n">
        <v>96.6815239140196</v>
      </c>
      <c r="R43" s="1" t="n">
        <v>52.1032393070785</v>
      </c>
      <c r="S43" s="1" t="n">
        <v>46.1247276270226</v>
      </c>
      <c r="T43" s="1" t="n">
        <v>89.5825381945945</v>
      </c>
      <c r="U43" s="1" t="n">
        <v>4013.875035947</v>
      </c>
      <c r="V43" s="1" t="n">
        <v>48.9416404311698</v>
      </c>
      <c r="W43" s="1" t="n">
        <v>91.894</v>
      </c>
      <c r="X43" s="1" t="n">
        <v>6157.331670428</v>
      </c>
      <c r="Y43" s="1" t="n">
        <v>6164.37269692</v>
      </c>
      <c r="Z43" s="1" t="n">
        <v>455.925068226</v>
      </c>
      <c r="AA43" s="1" t="n">
        <v>820.960454718</v>
      </c>
      <c r="AB43" s="1" t="n">
        <v>6626.012239758</v>
      </c>
      <c r="AC43" s="1" t="n">
        <v>6972.054511486</v>
      </c>
      <c r="AD43" s="1" t="n">
        <v>26.632214268</v>
      </c>
      <c r="AE43" s="1" t="n">
        <v>348.294689818</v>
      </c>
      <c r="AF43" s="1" t="n">
        <v>703.400631973</v>
      </c>
      <c r="AG43" s="1" t="n">
        <v>72.29224697</v>
      </c>
      <c r="AH43" s="1" t="n">
        <v>29.538</v>
      </c>
      <c r="AI43" s="1" t="n">
        <v>2.7</v>
      </c>
      <c r="AJ43" s="1" t="n">
        <v>9034.180217935</v>
      </c>
      <c r="AK43" s="1" t="n">
        <v>4026.170566765</v>
      </c>
      <c r="AL43" s="1" t="n">
        <v>5016.484109693</v>
      </c>
      <c r="AM43" s="1" t="n">
        <v>3011.016461039</v>
      </c>
      <c r="AO43" s="3" t="n">
        <f aca="false">D43/K43</f>
        <v>0.431148873779617</v>
      </c>
      <c r="AP43" s="3" t="n">
        <f aca="false">(1+D43/K43)</f>
        <v>1.43114887377962</v>
      </c>
      <c r="AQ43" s="3" t="n">
        <f aca="false">LN(AO43)</f>
        <v>-0.841301833718453</v>
      </c>
      <c r="AR43" s="3" t="n">
        <f aca="false">LN(AP43)</f>
        <v>0.358477529949665</v>
      </c>
    </row>
    <row r="44" customFormat="false" ht="15" hidden="false" customHeight="false" outlineLevel="0" collapsed="false">
      <c r="A44" s="5" t="n">
        <v>41153</v>
      </c>
      <c r="B44" s="1" t="n">
        <v>93.8947787026667</v>
      </c>
      <c r="C44" s="1" t="n">
        <v>229.653003193667</v>
      </c>
      <c r="D44" s="1" t="n">
        <v>9715.159402154</v>
      </c>
      <c r="E44" s="1" t="n">
        <v>9281.275708954</v>
      </c>
      <c r="F44" s="1" t="n">
        <v>-404.507120927</v>
      </c>
      <c r="G44" s="1" t="n">
        <v>5850.406835547</v>
      </c>
      <c r="H44" s="1" t="n">
        <v>6233.79542649</v>
      </c>
      <c r="I44" s="1" t="n">
        <v>-363.893270578</v>
      </c>
      <c r="J44" s="1" t="n">
        <v>90.196779986</v>
      </c>
      <c r="K44" s="1" t="n">
        <v>22184.4192800489</v>
      </c>
      <c r="L44" s="1" t="n">
        <v>81.4407155886667</v>
      </c>
      <c r="M44" s="1" t="n">
        <v>92.10996</v>
      </c>
      <c r="N44" s="1" t="n">
        <v>97.3868988966316</v>
      </c>
      <c r="O44" s="1" t="n">
        <v>53.3057487481583</v>
      </c>
      <c r="P44" s="1" t="n">
        <v>50.7812270070346</v>
      </c>
      <c r="Q44" s="1" t="n">
        <v>96.9474888669845</v>
      </c>
      <c r="R44" s="1" t="n">
        <v>52.17239434517</v>
      </c>
      <c r="S44" s="1" t="n">
        <v>46.7320070500503</v>
      </c>
      <c r="T44" s="1" t="n">
        <v>89.8289742724804</v>
      </c>
      <c r="U44" s="1" t="n">
        <v>3509.019031353</v>
      </c>
      <c r="V44" s="1" t="n">
        <v>48.9840969345517</v>
      </c>
      <c r="W44" s="1" t="n">
        <v>92.16095</v>
      </c>
      <c r="X44" s="1" t="n">
        <v>6089.753545808</v>
      </c>
      <c r="Y44" s="1" t="n">
        <v>6294.516661922</v>
      </c>
      <c r="Z44" s="1" t="n">
        <v>454.664368236</v>
      </c>
      <c r="AA44" s="1" t="n">
        <v>804.870355728</v>
      </c>
      <c r="AB44" s="1" t="n">
        <v>6547.333271814</v>
      </c>
      <c r="AC44" s="1" t="n">
        <v>7106.986126212</v>
      </c>
      <c r="AD44" s="1" t="n">
        <v>25.793884459</v>
      </c>
      <c r="AE44" s="1" t="n">
        <v>345.215359095</v>
      </c>
      <c r="AF44" s="1" t="n">
        <v>659.439373981</v>
      </c>
      <c r="AG44" s="1" t="n">
        <v>67.11968765</v>
      </c>
      <c r="AH44" s="1" t="n">
        <v>19.512</v>
      </c>
      <c r="AI44" s="1" t="n">
        <v>2.7</v>
      </c>
      <c r="AJ44" s="1" t="n">
        <v>8823.580509234</v>
      </c>
      <c r="AK44" s="1" t="n">
        <v>3472.94315924</v>
      </c>
      <c r="AL44" s="1" t="n">
        <v>5256.084893361</v>
      </c>
      <c r="AM44" s="1" t="n">
        <v>3061.636456121</v>
      </c>
      <c r="AO44" s="3" t="n">
        <f aca="false">D44/K44</f>
        <v>0.437927145151423</v>
      </c>
      <c r="AP44" s="3" t="n">
        <f aca="false">(1+D44/K44)</f>
        <v>1.43792714515142</v>
      </c>
      <c r="AQ44" s="3" t="n">
        <f aca="false">LN(AO44)</f>
        <v>-0.82570271771166</v>
      </c>
      <c r="AR44" s="3" t="n">
        <f aca="false">LN(AP44)</f>
        <v>0.363202594003863</v>
      </c>
    </row>
    <row r="45" customFormat="false" ht="15" hidden="false" customHeight="false" outlineLevel="0" collapsed="false">
      <c r="A45" s="5" t="n">
        <v>41244</v>
      </c>
      <c r="B45" s="1" t="n">
        <v>94.7701801476667</v>
      </c>
      <c r="C45" s="1" t="n">
        <v>231.195056904333</v>
      </c>
      <c r="D45" s="1" t="n">
        <v>9679.774827143</v>
      </c>
      <c r="E45" s="1" t="n">
        <v>9247.579031837</v>
      </c>
      <c r="F45" s="1" t="n">
        <v>-521.65824326</v>
      </c>
      <c r="G45" s="1" t="n">
        <v>5731.50786188</v>
      </c>
      <c r="H45" s="1" t="n">
        <v>5790.993231289</v>
      </c>
      <c r="I45" s="1" t="n">
        <v>-132.527939433</v>
      </c>
      <c r="J45" s="1" t="n">
        <v>90.79032524</v>
      </c>
      <c r="K45" s="1" t="n">
        <v>22211.0949856269</v>
      </c>
      <c r="L45" s="1" t="n">
        <v>82.2000050943333</v>
      </c>
      <c r="M45" s="1" t="n">
        <v>92.57141</v>
      </c>
      <c r="N45" s="1" t="n">
        <v>96.7371756772991</v>
      </c>
      <c r="O45" s="1" t="n">
        <v>52.9501158747639</v>
      </c>
      <c r="P45" s="1" t="n">
        <v>51.2546714319009</v>
      </c>
      <c r="Q45" s="1" t="n">
        <v>97.5984633061086</v>
      </c>
      <c r="R45" s="1" t="n">
        <v>51.8243227215915</v>
      </c>
      <c r="S45" s="1" t="n">
        <v>47.1676997165074</v>
      </c>
      <c r="T45" s="1" t="n">
        <v>90.4321499382714</v>
      </c>
      <c r="U45" s="1" t="n">
        <v>2998.288264297</v>
      </c>
      <c r="V45" s="1" t="n">
        <v>49.0704742952009</v>
      </c>
      <c r="W45" s="1" t="n">
        <v>92.67732</v>
      </c>
      <c r="X45" s="1" t="n">
        <v>5925.725631548</v>
      </c>
      <c r="Y45" s="1" t="n">
        <v>5925.124720034</v>
      </c>
      <c r="Z45" s="1" t="n">
        <v>457.925779759</v>
      </c>
      <c r="AA45" s="1" t="n">
        <v>784.337263187</v>
      </c>
      <c r="AB45" s="1" t="n">
        <v>6394.075223034</v>
      </c>
      <c r="AC45" s="1" t="n">
        <v>6695.697481935</v>
      </c>
      <c r="AD45" s="1" t="n">
        <v>27.43498212</v>
      </c>
      <c r="AE45" s="1" t="n">
        <v>341.864431971</v>
      </c>
      <c r="AF45" s="1" t="n">
        <v>663.257480332</v>
      </c>
      <c r="AG45" s="1" t="n">
        <v>73.92212164</v>
      </c>
      <c r="AH45" s="1" t="n">
        <v>63.10863992</v>
      </c>
      <c r="AI45" s="1" t="n">
        <v>2.7</v>
      </c>
      <c r="AJ45" s="1" t="n">
        <v>8374.615613749</v>
      </c>
      <c r="AK45" s="1" t="n">
        <v>3222.525643444</v>
      </c>
      <c r="AL45" s="1" t="n">
        <v>5189.997355234</v>
      </c>
      <c r="AM45" s="1" t="n">
        <v>3188.817251328</v>
      </c>
      <c r="AO45" s="3" t="n">
        <f aca="false">D45/K45</f>
        <v>0.435808087507929</v>
      </c>
      <c r="AP45" s="3" t="n">
        <f aca="false">(1+D45/K45)</f>
        <v>1.43580808750793</v>
      </c>
      <c r="AQ45" s="3" t="n">
        <f aca="false">LN(AO45)</f>
        <v>-0.830553298800929</v>
      </c>
      <c r="AR45" s="3" t="n">
        <f aca="false">LN(AP45)</f>
        <v>0.361727817898197</v>
      </c>
    </row>
    <row r="46" customFormat="false" ht="15" hidden="false" customHeight="false" outlineLevel="0" collapsed="false">
      <c r="A46" s="5" t="n">
        <v>41334</v>
      </c>
      <c r="B46" s="1" t="n">
        <v>95.1094637893333</v>
      </c>
      <c r="C46" s="1" t="n">
        <v>232.334465923333</v>
      </c>
      <c r="D46" s="1" t="n">
        <v>10556.450716946</v>
      </c>
      <c r="E46" s="1" t="n">
        <v>9781.332060242</v>
      </c>
      <c r="F46" s="1" t="n">
        <v>-979.902607328</v>
      </c>
      <c r="G46" s="1" t="n">
        <v>6254.499896103</v>
      </c>
      <c r="H46" s="1" t="n">
        <v>6648.575245935</v>
      </c>
      <c r="I46" s="1" t="n">
        <v>-317.092627882</v>
      </c>
      <c r="J46" s="1" t="n">
        <v>95.369949018</v>
      </c>
      <c r="K46" s="1" t="n">
        <v>23286.5504603849</v>
      </c>
      <c r="L46" s="1" t="n">
        <v>82.494286661</v>
      </c>
      <c r="M46" s="1" t="n">
        <v>92.93919</v>
      </c>
      <c r="N46" s="1" t="n">
        <v>98.9658137735723</v>
      </c>
      <c r="O46" s="1" t="n">
        <v>54.1699844993579</v>
      </c>
      <c r="P46" s="1" t="n">
        <v>51.4381666151827</v>
      </c>
      <c r="Q46" s="1" t="n">
        <v>98.0794622116238</v>
      </c>
      <c r="R46" s="1" t="n">
        <v>53.0182552415586</v>
      </c>
      <c r="S46" s="1" t="n">
        <v>47.3365632651882</v>
      </c>
      <c r="T46" s="1" t="n">
        <v>90.8778307786272</v>
      </c>
      <c r="U46" s="1" t="n">
        <v>3650.921738763</v>
      </c>
      <c r="V46" s="1" t="n">
        <v>49.5129557241058</v>
      </c>
      <c r="W46" s="1" t="n">
        <v>93.00273</v>
      </c>
      <c r="X46" s="1" t="n">
        <v>6373.73865007</v>
      </c>
      <c r="Y46" s="1" t="n">
        <v>6711.586788315</v>
      </c>
      <c r="Z46" s="1" t="n">
        <v>482.919995384</v>
      </c>
      <c r="AA46" s="1" t="n">
        <v>844.684731421</v>
      </c>
      <c r="AB46" s="1" t="n">
        <v>6829.697106127</v>
      </c>
      <c r="AC46" s="1" t="n">
        <v>7579.287466069</v>
      </c>
      <c r="AD46" s="1" t="n">
        <v>28.255886404</v>
      </c>
      <c r="AE46" s="1" t="n">
        <v>348.290078622</v>
      </c>
      <c r="AF46" s="1" t="n">
        <v>667.921709751</v>
      </c>
      <c r="AG46" s="1" t="n">
        <v>57.53814842</v>
      </c>
      <c r="AH46" s="1" t="n">
        <v>31.8252</v>
      </c>
      <c r="AI46" s="1" t="n">
        <v>2.7</v>
      </c>
      <c r="AJ46" s="1" t="n">
        <v>8876.674137823</v>
      </c>
      <c r="AK46" s="1" t="n">
        <v>3480.773037833</v>
      </c>
      <c r="AL46" s="1" t="n">
        <v>5471.312793282</v>
      </c>
      <c r="AM46" s="1" t="n">
        <v>3330.574695449</v>
      </c>
      <c r="AO46" s="3" t="n">
        <f aca="false">D46/K46</f>
        <v>0.453328230598372</v>
      </c>
      <c r="AP46" s="3" t="n">
        <f aca="false">(1+D46/K46)</f>
        <v>1.45332823059837</v>
      </c>
      <c r="AQ46" s="3" t="n">
        <f aca="false">LN(AO46)</f>
        <v>-0.791138845016501</v>
      </c>
      <c r="AR46" s="3" t="n">
        <f aca="false">LN(AP46)</f>
        <v>0.373856257630504</v>
      </c>
    </row>
    <row r="47" customFormat="false" ht="15" hidden="false" customHeight="false" outlineLevel="0" collapsed="false">
      <c r="A47" s="5" t="n">
        <v>41426</v>
      </c>
      <c r="B47" s="1" t="n">
        <v>95.408488914</v>
      </c>
      <c r="C47" s="1" t="n">
        <v>232.220254146</v>
      </c>
      <c r="D47" s="1" t="n">
        <v>10868.414614167</v>
      </c>
      <c r="E47" s="1" t="n">
        <v>9430.617762739</v>
      </c>
      <c r="F47" s="1" t="n">
        <v>-950.901529384</v>
      </c>
      <c r="G47" s="1" t="n">
        <v>5815.369123731</v>
      </c>
      <c r="H47" s="1" t="n">
        <v>6655.965118311</v>
      </c>
      <c r="I47" s="1" t="n">
        <v>-784.162918679</v>
      </c>
      <c r="J47" s="1" t="n">
        <v>92.7462753786667</v>
      </c>
      <c r="K47" s="1" t="n">
        <v>23615.5762752821</v>
      </c>
      <c r="L47" s="1" t="n">
        <v>82.75364954</v>
      </c>
      <c r="M47" s="1" t="n">
        <v>93.13935</v>
      </c>
      <c r="N47" s="1" t="n">
        <v>98.4339359582553</v>
      </c>
      <c r="O47" s="1" t="n">
        <v>53.878855553789</v>
      </c>
      <c r="P47" s="1" t="n">
        <v>51.5998887359046</v>
      </c>
      <c r="Q47" s="1" t="n">
        <v>98.031247971629</v>
      </c>
      <c r="R47" s="1" t="n">
        <v>52.7333161025311</v>
      </c>
      <c r="S47" s="1" t="n">
        <v>47.4853899031242</v>
      </c>
      <c r="T47" s="1" t="n">
        <v>90.8331567414275</v>
      </c>
      <c r="U47" s="1" t="n">
        <v>3221.587014888</v>
      </c>
      <c r="V47" s="1" t="n">
        <v>49.6974021913493</v>
      </c>
      <c r="W47" s="1" t="n">
        <v>93.04949</v>
      </c>
      <c r="X47" s="1" t="n">
        <v>6019.724077022</v>
      </c>
      <c r="Y47" s="1" t="n">
        <v>6702.840685321</v>
      </c>
      <c r="Z47" s="1" t="n">
        <v>496.498941805</v>
      </c>
      <c r="AA47" s="1" t="n">
        <v>866.652209659</v>
      </c>
      <c r="AB47" s="1" t="n">
        <v>6525.67294024</v>
      </c>
      <c r="AC47" s="1" t="n">
        <v>7556.643021372</v>
      </c>
      <c r="AD47" s="1" t="n">
        <v>27.967979075</v>
      </c>
      <c r="AE47" s="1" t="n">
        <v>365.118945536</v>
      </c>
      <c r="AF47" s="1" t="n">
        <v>674.915076972</v>
      </c>
      <c r="AG47" s="1" t="n">
        <v>79.23937281</v>
      </c>
      <c r="AH47" s="1" t="n">
        <v>27.863</v>
      </c>
      <c r="AI47" s="1" t="n">
        <v>2.7</v>
      </c>
      <c r="AJ47" s="1" t="n">
        <v>9045.311622855</v>
      </c>
      <c r="AK47" s="1" t="n">
        <v>3179.520055328</v>
      </c>
      <c r="AL47" s="1" t="n">
        <v>5819.591101541</v>
      </c>
      <c r="AM47" s="1" t="n">
        <v>3412.270915148</v>
      </c>
      <c r="AO47" s="3" t="n">
        <f aca="false">D47/K47</f>
        <v>0.460222290892928</v>
      </c>
      <c r="AP47" s="3" t="n">
        <f aca="false">(1+D47/K47)</f>
        <v>1.46022229089293</v>
      </c>
      <c r="AQ47" s="3" t="n">
        <f aca="false">LN(AO47)</f>
        <v>-0.776045665150779</v>
      </c>
      <c r="AR47" s="3" t="n">
        <f aca="false">LN(AP47)</f>
        <v>0.378588678167027</v>
      </c>
    </row>
    <row r="48" customFormat="false" ht="15" hidden="false" customHeight="false" outlineLevel="0" collapsed="false">
      <c r="A48" s="5" t="n">
        <v>41518</v>
      </c>
      <c r="B48" s="1" t="n">
        <v>95.8530231496667</v>
      </c>
      <c r="C48" s="1" t="n">
        <v>233.250682040333</v>
      </c>
      <c r="D48" s="1" t="n">
        <v>11523.238981813</v>
      </c>
      <c r="E48" s="1" t="n">
        <v>10403.117659056</v>
      </c>
      <c r="F48" s="1" t="n">
        <v>-733.105531097</v>
      </c>
      <c r="G48" s="1" t="n">
        <v>6358.494109648</v>
      </c>
      <c r="H48" s="1" t="n">
        <v>6498.212199022</v>
      </c>
      <c r="I48" s="1" t="n">
        <v>-108.769039406</v>
      </c>
      <c r="J48" s="1" t="n">
        <v>103.507447527333</v>
      </c>
      <c r="K48" s="1" t="n">
        <v>24806.3385739126</v>
      </c>
      <c r="L48" s="1" t="n">
        <v>83.1392214186667</v>
      </c>
      <c r="M48" s="1" t="n">
        <v>93.59587</v>
      </c>
      <c r="N48" s="1" t="n">
        <v>100.758747901488</v>
      </c>
      <c r="O48" s="1" t="n">
        <v>55.1513659503282</v>
      </c>
      <c r="P48" s="1" t="n">
        <v>51.8403067255488</v>
      </c>
      <c r="Q48" s="1" t="n">
        <v>98.4662407451826</v>
      </c>
      <c r="R48" s="1" t="n">
        <v>53.9787711571112</v>
      </c>
      <c r="S48" s="1" t="n">
        <v>47.7066373177536</v>
      </c>
      <c r="T48" s="1" t="n">
        <v>91.2362095189767</v>
      </c>
      <c r="U48" s="1" t="n">
        <v>3725.572538846</v>
      </c>
      <c r="V48" s="1" t="n">
        <v>50.4507893399524</v>
      </c>
      <c r="W48" s="1" t="n">
        <v>93.43239</v>
      </c>
      <c r="X48" s="1" t="n">
        <v>6561.885428981</v>
      </c>
      <c r="Y48" s="1" t="n">
        <v>6533.180335101</v>
      </c>
      <c r="Z48" s="1" t="n">
        <v>521.328028298</v>
      </c>
      <c r="AA48" s="1" t="n">
        <v>855.950234146</v>
      </c>
      <c r="AB48" s="1" t="n">
        <v>7086.403120971</v>
      </c>
      <c r="AC48" s="1" t="n">
        <v>7396.511186936</v>
      </c>
      <c r="AD48" s="1" t="n">
        <v>28.071002822</v>
      </c>
      <c r="AE48" s="1" t="n">
        <v>367.186519272</v>
      </c>
      <c r="AF48" s="1" t="n">
        <v>681.784769904</v>
      </c>
      <c r="AG48" s="1" t="n">
        <v>87.437264714</v>
      </c>
      <c r="AH48" s="1" t="n">
        <v>18.582</v>
      </c>
      <c r="AI48" s="1" t="n">
        <v>2.7</v>
      </c>
      <c r="AJ48" s="1" t="n">
        <v>9539.805931798</v>
      </c>
      <c r="AK48" s="1" t="n">
        <v>3818.041385204</v>
      </c>
      <c r="AL48" s="1" t="n">
        <v>5764.115499192</v>
      </c>
      <c r="AM48" s="1" t="n">
        <v>3462.483874916</v>
      </c>
      <c r="AO48" s="3" t="n">
        <f aca="false">D48/K48</f>
        <v>0.464528005512725</v>
      </c>
      <c r="AP48" s="3" t="n">
        <f aca="false">(1+D48/K48)</f>
        <v>1.46452800551273</v>
      </c>
      <c r="AQ48" s="3" t="n">
        <f aca="false">LN(AO48)</f>
        <v>-0.766733430806805</v>
      </c>
      <c r="AR48" s="3" t="n">
        <f aca="false">LN(AP48)</f>
        <v>0.381533010020342</v>
      </c>
    </row>
    <row r="49" customFormat="false" ht="15" hidden="false" customHeight="false" outlineLevel="0" collapsed="false">
      <c r="A49" s="5" t="n">
        <v>41609</v>
      </c>
      <c r="B49" s="1" t="n">
        <v>96.97724915</v>
      </c>
      <c r="C49" s="1" t="n">
        <v>234.004829342</v>
      </c>
      <c r="D49" s="1" t="n">
        <v>11982.163201201</v>
      </c>
      <c r="E49" s="1" t="n">
        <v>11431.493604828</v>
      </c>
      <c r="F49" s="1" t="n">
        <v>-1611.328410722</v>
      </c>
      <c r="G49" s="1" t="n">
        <v>6417.654438658</v>
      </c>
      <c r="H49" s="1" t="n">
        <v>6028.121535265</v>
      </c>
      <c r="I49" s="1" t="n">
        <v>230.500549611</v>
      </c>
      <c r="J49" s="1" t="n">
        <v>99.7439493833333</v>
      </c>
      <c r="K49" s="1" t="n">
        <v>24861.8694245853</v>
      </c>
      <c r="L49" s="1" t="n">
        <v>84.1143317626667</v>
      </c>
      <c r="M49" s="1" t="n">
        <v>94.09085</v>
      </c>
      <c r="N49" s="1" t="n">
        <v>100.594926092901</v>
      </c>
      <c r="O49" s="1" t="n">
        <v>55.0616963513685</v>
      </c>
      <c r="P49" s="1" t="n">
        <v>52.4483232363595</v>
      </c>
      <c r="Q49" s="1" t="n">
        <v>98.784602299857</v>
      </c>
      <c r="R49" s="1" t="n">
        <v>53.8910080586169</v>
      </c>
      <c r="S49" s="1" t="n">
        <v>48.2661714909987</v>
      </c>
      <c r="T49" s="1" t="n">
        <v>91.5311948996031</v>
      </c>
      <c r="U49" s="1" t="n">
        <v>3805.349402141</v>
      </c>
      <c r="V49" s="1" t="n">
        <v>51.1840889238606</v>
      </c>
      <c r="W49" s="1" t="n">
        <v>93.77631</v>
      </c>
      <c r="X49" s="1" t="n">
        <v>6614.184085135</v>
      </c>
      <c r="Y49" s="1" t="n">
        <v>6191.058039711</v>
      </c>
      <c r="Z49" s="1" t="n">
        <v>538.294357424</v>
      </c>
      <c r="AA49" s="1" t="n">
        <v>888.728577936</v>
      </c>
      <c r="AB49" s="1" t="n">
        <v>7170.675941382</v>
      </c>
      <c r="AC49" s="1" t="n">
        <v>7061.489268708</v>
      </c>
      <c r="AD49" s="1" t="n">
        <v>28.355514767</v>
      </c>
      <c r="AE49" s="1" t="n">
        <v>394.659637928</v>
      </c>
      <c r="AF49" s="1" t="n">
        <v>677.177653092</v>
      </c>
      <c r="AG49" s="1" t="n">
        <v>102.41611017</v>
      </c>
      <c r="AH49" s="1" t="n">
        <v>17.44439912</v>
      </c>
      <c r="AI49" s="1" t="n">
        <v>2.7</v>
      </c>
      <c r="AJ49" s="1" t="n">
        <v>9816.713127275</v>
      </c>
      <c r="AK49" s="1" t="n">
        <v>3956.069225214</v>
      </c>
      <c r="AL49" s="1" t="n">
        <v>5853.553016705</v>
      </c>
      <c r="AM49" s="1" t="n">
        <v>3454.433765033</v>
      </c>
      <c r="AO49" s="3" t="n">
        <f aca="false">D49/K49</f>
        <v>0.481949405998896</v>
      </c>
      <c r="AP49" s="3" t="n">
        <f aca="false">(1+D49/K49)</f>
        <v>1.4819494059989</v>
      </c>
      <c r="AQ49" s="3" t="n">
        <f aca="false">LN(AO49)</f>
        <v>-0.729916137248207</v>
      </c>
      <c r="AR49" s="3" t="n">
        <f aca="false">LN(AP49)</f>
        <v>0.393358387289052</v>
      </c>
    </row>
    <row r="50" customFormat="false" ht="15" hidden="false" customHeight="false" outlineLevel="0" collapsed="false">
      <c r="A50" s="5" t="n">
        <v>41699</v>
      </c>
      <c r="B50" s="1" t="n">
        <v>97.9635783003333</v>
      </c>
      <c r="C50" s="1" t="n">
        <v>235.615776231667</v>
      </c>
      <c r="D50" s="1" t="n">
        <v>11325.558446107</v>
      </c>
      <c r="E50" s="1" t="n">
        <v>10023.631956195</v>
      </c>
      <c r="F50" s="1" t="n">
        <v>-965.566634447</v>
      </c>
      <c r="G50" s="1" t="n">
        <v>6745.826270442</v>
      </c>
      <c r="H50" s="1" t="n">
        <v>6535.506453063</v>
      </c>
      <c r="I50" s="1" t="n">
        <v>286.663480509</v>
      </c>
      <c r="J50" s="1" t="n">
        <v>100.529941477</v>
      </c>
      <c r="K50" s="1" t="n">
        <v>25249.7822181812</v>
      </c>
      <c r="L50" s="1" t="n">
        <v>84.9698356893333</v>
      </c>
      <c r="M50" s="1" t="n">
        <v>94.44779</v>
      </c>
      <c r="N50" s="1" t="n">
        <v>101.913499874798</v>
      </c>
      <c r="O50" s="1" t="n">
        <v>55.7834316517019</v>
      </c>
      <c r="P50" s="1" t="n">
        <v>52.9817608265938</v>
      </c>
      <c r="Q50" s="1" t="n">
        <v>99.4646598365728</v>
      </c>
      <c r="R50" s="1" t="n">
        <v>54.5973982620399</v>
      </c>
      <c r="S50" s="1" t="n">
        <v>48.7570735565226</v>
      </c>
      <c r="T50" s="1" t="n">
        <v>92.1613181929796</v>
      </c>
      <c r="U50" s="1" t="n">
        <v>3820.915086242</v>
      </c>
      <c r="V50" s="1" t="n">
        <v>51.6436142936499</v>
      </c>
      <c r="W50" s="1" t="n">
        <v>94.20694</v>
      </c>
      <c r="X50" s="1" t="n">
        <v>6920.286358864</v>
      </c>
      <c r="Y50" s="1" t="n">
        <v>6521.022790442</v>
      </c>
      <c r="Z50" s="1" t="n">
        <v>554.169491694</v>
      </c>
      <c r="AA50" s="1" t="n">
        <v>883.678188615</v>
      </c>
      <c r="AB50" s="1" t="n">
        <v>7438.781902024</v>
      </c>
      <c r="AC50" s="1" t="n">
        <v>7430.744467993</v>
      </c>
      <c r="AD50" s="1" t="n">
        <v>29.717491044</v>
      </c>
      <c r="AE50" s="1" t="n">
        <v>423.818145932</v>
      </c>
      <c r="AF50" s="1" t="n">
        <v>727.415312847</v>
      </c>
      <c r="AG50" s="1" t="n">
        <v>144.73646842</v>
      </c>
      <c r="AH50" s="1" t="n">
        <v>35.0736</v>
      </c>
      <c r="AI50" s="1" t="n">
        <v>2.7</v>
      </c>
      <c r="AJ50" s="1" t="n">
        <v>9596.534333015</v>
      </c>
      <c r="AK50" s="1" t="n">
        <v>3732.336777309</v>
      </c>
      <c r="AL50" s="1" t="n">
        <v>5929.66017155</v>
      </c>
      <c r="AM50" s="1" t="n">
        <v>3461.220113868</v>
      </c>
      <c r="AO50" s="3" t="n">
        <f aca="false">D50/K50</f>
        <v>0.448540836837475</v>
      </c>
      <c r="AP50" s="3" t="n">
        <f aca="false">(1+D50/K50)</f>
        <v>1.44854083683748</v>
      </c>
      <c r="AQ50" s="3" t="n">
        <f aca="false">LN(AO50)</f>
        <v>-0.801755549593767</v>
      </c>
      <c r="AR50" s="3" t="n">
        <f aca="false">LN(AP50)</f>
        <v>0.370556730330713</v>
      </c>
    </row>
    <row r="51" customFormat="false" ht="15" hidden="false" customHeight="false" outlineLevel="0" collapsed="false">
      <c r="A51" s="5" t="n">
        <v>41791</v>
      </c>
      <c r="B51" s="1" t="n">
        <v>98.7034152723333</v>
      </c>
      <c r="C51" s="1" t="n">
        <v>236.989451501667</v>
      </c>
      <c r="D51" s="1" t="n">
        <v>11774.004007653</v>
      </c>
      <c r="E51" s="1" t="n">
        <v>11006.365332542</v>
      </c>
      <c r="F51" s="1" t="n">
        <v>-187.280184959</v>
      </c>
      <c r="G51" s="1" t="n">
        <v>6590.91945368</v>
      </c>
      <c r="H51" s="1" t="n">
        <v>6635.549708888</v>
      </c>
      <c r="I51" s="1" t="n">
        <v>70.975110647</v>
      </c>
      <c r="J51" s="1" t="n">
        <v>101.438384181</v>
      </c>
      <c r="K51" s="1" t="n">
        <v>25809.3685165649</v>
      </c>
      <c r="L51" s="1" t="n">
        <v>85.6115417903333</v>
      </c>
      <c r="M51" s="1" t="n">
        <v>94.9822</v>
      </c>
      <c r="N51" s="1" t="n">
        <v>102.786885900119</v>
      </c>
      <c r="O51" s="1" t="n">
        <v>56.2614887266616</v>
      </c>
      <c r="P51" s="1" t="n">
        <v>53.3818877531645</v>
      </c>
      <c r="Q51" s="1" t="n">
        <v>100.044553702942</v>
      </c>
      <c r="R51" s="1" t="n">
        <v>55.0652911782829</v>
      </c>
      <c r="S51" s="1" t="n">
        <v>49.1252949535917</v>
      </c>
      <c r="T51" s="1" t="n">
        <v>92.6986324835465</v>
      </c>
      <c r="U51" s="1" t="n">
        <v>3674.86681362</v>
      </c>
      <c r="V51" s="1" t="n">
        <v>51.6330831052408</v>
      </c>
      <c r="W51" s="1" t="n">
        <v>94.62783</v>
      </c>
      <c r="X51" s="1" t="n">
        <v>6887.986187021</v>
      </c>
      <c r="Y51" s="1" t="n">
        <v>6684.998318371</v>
      </c>
      <c r="Z51" s="1" t="n">
        <v>585.854227899</v>
      </c>
      <c r="AA51" s="1" t="n">
        <v>870.450354387</v>
      </c>
      <c r="AB51" s="1" t="n">
        <v>7487.359662907</v>
      </c>
      <c r="AC51" s="1" t="n">
        <v>7542.526473531</v>
      </c>
      <c r="AD51" s="1" t="n">
        <v>31.120590723</v>
      </c>
      <c r="AE51" s="1" t="n">
        <v>396.588343267</v>
      </c>
      <c r="AF51" s="1" t="n">
        <v>686.952357269</v>
      </c>
      <c r="AG51" s="1" t="n">
        <v>125.15717179</v>
      </c>
      <c r="AH51" s="1" t="n">
        <v>26.436</v>
      </c>
      <c r="AI51" s="1" t="n">
        <v>2.7</v>
      </c>
      <c r="AJ51" s="1" t="n">
        <v>9865.436094357</v>
      </c>
      <c r="AK51" s="1" t="n">
        <v>3682.331196415</v>
      </c>
      <c r="AL51" s="1" t="n">
        <v>6180.988351948</v>
      </c>
      <c r="AM51" s="1" t="n">
        <v>3564.651231554</v>
      </c>
      <c r="AO51" s="3" t="n">
        <f aca="false">D51/K51</f>
        <v>0.456191092009719</v>
      </c>
      <c r="AP51" s="3" t="n">
        <f aca="false">(1+D51/K51)</f>
        <v>1.45619109200972</v>
      </c>
      <c r="AQ51" s="3" t="n">
        <f aca="false">LN(AO51)</f>
        <v>-0.784843495824645</v>
      </c>
      <c r="AR51" s="3" t="n">
        <f aca="false">LN(AP51)</f>
        <v>0.375824185674856</v>
      </c>
    </row>
    <row r="52" customFormat="false" ht="15" hidden="false" customHeight="false" outlineLevel="0" collapsed="false">
      <c r="A52" s="5" t="n">
        <v>41883</v>
      </c>
      <c r="B52" s="1" t="n">
        <v>99.7826481426667</v>
      </c>
      <c r="C52" s="1" t="n">
        <v>237.444704117</v>
      </c>
      <c r="D52" s="1" t="n">
        <v>12063.603035997</v>
      </c>
      <c r="E52" s="1" t="n">
        <v>10352.404054128</v>
      </c>
      <c r="F52" s="1" t="n">
        <v>-1680.362667861</v>
      </c>
      <c r="G52" s="1" t="n">
        <v>6489.104010841</v>
      </c>
      <c r="H52" s="1" t="n">
        <v>6533.002330096</v>
      </c>
      <c r="I52" s="1" t="n">
        <v>-36.93071489</v>
      </c>
      <c r="J52" s="1" t="n">
        <v>95.0797069796667</v>
      </c>
      <c r="K52" s="1" t="n">
        <v>26278.3307991693</v>
      </c>
      <c r="L52" s="1" t="n">
        <v>86.547626826</v>
      </c>
      <c r="M52" s="1" t="n">
        <v>95.37266</v>
      </c>
      <c r="N52" s="1" t="n">
        <v>102.863180378144</v>
      </c>
      <c r="O52" s="1" t="n">
        <v>56.3032493158428</v>
      </c>
      <c r="P52" s="1" t="n">
        <v>53.965570574926</v>
      </c>
      <c r="Q52" s="1" t="n">
        <v>100.236737550934</v>
      </c>
      <c r="R52" s="1" t="n">
        <v>55.1061638792207</v>
      </c>
      <c r="S52" s="1" t="n">
        <v>49.662435770173</v>
      </c>
      <c r="T52" s="1" t="n">
        <v>92.8767049446141</v>
      </c>
      <c r="U52" s="1" t="n">
        <v>3205.789934362</v>
      </c>
      <c r="V52" s="1" t="n">
        <v>51.449589212915</v>
      </c>
      <c r="W52" s="1" t="n">
        <v>94.88698</v>
      </c>
      <c r="X52" s="1" t="n">
        <v>6702.810330117</v>
      </c>
      <c r="Y52" s="1" t="n">
        <v>6610.88148185</v>
      </c>
      <c r="Z52" s="1" t="n">
        <v>595.757025203</v>
      </c>
      <c r="AA52" s="1" t="n">
        <v>885.625319727</v>
      </c>
      <c r="AB52" s="1" t="n">
        <v>7299.703033279</v>
      </c>
      <c r="AC52" s="1" t="n">
        <v>7503.120586263</v>
      </c>
      <c r="AD52" s="1" t="n">
        <v>35.257232285</v>
      </c>
      <c r="AE52" s="1" t="n">
        <v>362.161846348</v>
      </c>
      <c r="AF52" s="1" t="n">
        <v>669.995999082</v>
      </c>
      <c r="AG52" s="1" t="n">
        <v>198.15012701</v>
      </c>
      <c r="AH52" s="1" t="n">
        <v>18.7252</v>
      </c>
      <c r="AI52" s="1" t="n">
        <v>2.7</v>
      </c>
      <c r="AJ52" s="1" t="n">
        <v>9430.475007717</v>
      </c>
      <c r="AK52" s="1" t="n">
        <v>3286.871243404</v>
      </c>
      <c r="AL52" s="1" t="n">
        <v>6198.551210774</v>
      </c>
      <c r="AM52" s="1" t="n">
        <v>3655.698859889</v>
      </c>
      <c r="AO52" s="3" t="n">
        <f aca="false">D52/K52</f>
        <v>0.459070369735141</v>
      </c>
      <c r="AP52" s="3" t="n">
        <f aca="false">(1+D52/K52)</f>
        <v>1.45907036973514</v>
      </c>
      <c r="AQ52" s="3" t="n">
        <f aca="false">LN(AO52)</f>
        <v>-0.778551769702711</v>
      </c>
      <c r="AR52" s="3" t="n">
        <f aca="false">LN(AP52)</f>
        <v>0.377799499861538</v>
      </c>
    </row>
    <row r="53" customFormat="false" ht="15" hidden="false" customHeight="false" outlineLevel="0" collapsed="false">
      <c r="A53" s="5" t="n">
        <v>41974</v>
      </c>
      <c r="B53" s="1" t="n">
        <v>100.666831785667</v>
      </c>
      <c r="C53" s="1" t="n">
        <v>236.883910947667</v>
      </c>
      <c r="D53" s="1" t="n">
        <v>12063.429172728</v>
      </c>
      <c r="E53" s="1" t="n">
        <v>10330.109720553</v>
      </c>
      <c r="F53" s="1" t="n">
        <v>-2452.204277835</v>
      </c>
      <c r="G53" s="1" t="n">
        <v>5844.251498225</v>
      </c>
      <c r="H53" s="1" t="n">
        <v>6735.892366059</v>
      </c>
      <c r="I53" s="1" t="n">
        <v>-1024.09110648</v>
      </c>
      <c r="J53" s="1" t="n">
        <v>75.027240676</v>
      </c>
      <c r="K53" s="1" t="n">
        <v>25380.3118269892</v>
      </c>
      <c r="L53" s="1" t="n">
        <v>87.314533672</v>
      </c>
      <c r="M53" s="1" t="n">
        <v>95.46732</v>
      </c>
      <c r="N53" s="1" t="n">
        <v>99.4659962874566</v>
      </c>
      <c r="O53" s="1" t="n">
        <v>54.4437646865845</v>
      </c>
      <c r="P53" s="1" t="n">
        <v>54.4437646865845</v>
      </c>
      <c r="Q53" s="1" t="n">
        <v>100</v>
      </c>
      <c r="R53" s="1" t="n">
        <v>53.28621448099</v>
      </c>
      <c r="S53" s="1" t="n">
        <v>50.1024993904203</v>
      </c>
      <c r="T53" s="1" t="n">
        <v>92.6573502029836</v>
      </c>
      <c r="U53" s="1" t="n">
        <v>3271.990714867</v>
      </c>
      <c r="V53" s="1" t="n">
        <v>50.6994859193502</v>
      </c>
      <c r="W53" s="1" t="n">
        <v>94.7613</v>
      </c>
      <c r="X53" s="1" t="n">
        <v>6042.519879451</v>
      </c>
      <c r="Y53" s="1" t="n">
        <v>6825.435370644</v>
      </c>
      <c r="Z53" s="1" t="n">
        <v>607.667347554</v>
      </c>
      <c r="AA53" s="1" t="n">
        <v>867.300419312</v>
      </c>
      <c r="AB53" s="1" t="n">
        <v>6671.393299324</v>
      </c>
      <c r="AC53" s="1" t="n">
        <v>7677.904211329</v>
      </c>
      <c r="AD53" s="1" t="n">
        <v>24.854374542</v>
      </c>
      <c r="AE53" s="1" t="n">
        <v>477.19705527</v>
      </c>
      <c r="AF53" s="1" t="n">
        <v>641.779671159</v>
      </c>
      <c r="AG53" s="1" t="n">
        <v>150.46483208</v>
      </c>
      <c r="AH53" s="1" t="n">
        <v>17.3518492521143</v>
      </c>
      <c r="AI53" s="1" t="n">
        <v>2.7</v>
      </c>
      <c r="AJ53" s="1" t="n">
        <v>9935.548957861</v>
      </c>
      <c r="AK53" s="1" t="n">
        <v>3151.915536635</v>
      </c>
      <c r="AL53" s="1" t="n">
        <v>6619.586347615</v>
      </c>
      <c r="AM53" s="1" t="n">
        <v>3780.777075829</v>
      </c>
      <c r="AO53" s="3" t="n">
        <f aca="false">D53/K53</f>
        <v>0.475306578380958</v>
      </c>
      <c r="AP53" s="3" t="n">
        <f aca="false">(1+D53/K53)</f>
        <v>1.47530657838096</v>
      </c>
      <c r="AQ53" s="3" t="n">
        <f aca="false">LN(AO53)</f>
        <v>-0.743795254976239</v>
      </c>
      <c r="AR53" s="3" t="n">
        <f aca="false">LN(AP53)</f>
        <v>0.388865817943819</v>
      </c>
    </row>
    <row r="54" customFormat="false" ht="15" hidden="false" customHeight="false" outlineLevel="0" collapsed="false">
      <c r="A54" s="5" t="n">
        <v>42064</v>
      </c>
      <c r="B54" s="1" t="n">
        <v>101.701848293</v>
      </c>
      <c r="C54" s="1" t="n">
        <v>235.471834232333</v>
      </c>
      <c r="D54" s="1" t="n">
        <v>10530.891220069</v>
      </c>
      <c r="E54" s="1" t="n">
        <v>9223.795249931</v>
      </c>
      <c r="F54" s="1" t="n">
        <v>-1487.856963291</v>
      </c>
      <c r="G54" s="1" t="n">
        <v>4986.808268383</v>
      </c>
      <c r="H54" s="1" t="n">
        <v>6073.130137359</v>
      </c>
      <c r="I54" s="1" t="n">
        <v>-1063.72652329</v>
      </c>
      <c r="J54" s="1" t="n">
        <v>50.9822951033333</v>
      </c>
      <c r="K54" s="1" t="n">
        <v>24428.533707685</v>
      </c>
      <c r="L54" s="1" t="n">
        <v>88.212267137</v>
      </c>
      <c r="M54" s="1" t="n">
        <v>95.41506</v>
      </c>
      <c r="N54" s="1" t="n">
        <v>95.1907845478765</v>
      </c>
      <c r="O54" s="1" t="n">
        <v>52.1036823406303</v>
      </c>
      <c r="P54" s="1" t="n">
        <v>55.0035339191353</v>
      </c>
      <c r="Q54" s="1" t="n">
        <v>99.403895051511</v>
      </c>
      <c r="R54" s="1" t="n">
        <v>50.9958855423592</v>
      </c>
      <c r="S54" s="1" t="n">
        <v>50.617633452036</v>
      </c>
      <c r="T54" s="1" t="n">
        <v>92.1050151532848</v>
      </c>
      <c r="U54" s="1" t="n">
        <v>2250.164071444</v>
      </c>
      <c r="V54" s="1" t="n">
        <v>50.5116159265829</v>
      </c>
      <c r="W54" s="1" t="n">
        <v>94.33652</v>
      </c>
      <c r="X54" s="1" t="n">
        <v>5128.851864211</v>
      </c>
      <c r="Y54" s="1" t="n">
        <v>6110.831107751</v>
      </c>
      <c r="Z54" s="1" t="n">
        <v>621.522508553</v>
      </c>
      <c r="AA54" s="1" t="n">
        <v>880.586998699</v>
      </c>
      <c r="AB54" s="1" t="n">
        <v>5729.37402175</v>
      </c>
      <c r="AC54" s="1" t="n">
        <v>7011.011657896</v>
      </c>
      <c r="AD54" s="1" t="n">
        <v>31.913649667</v>
      </c>
      <c r="AE54" s="1" t="n">
        <v>417.142811242</v>
      </c>
      <c r="AF54" s="1" t="n">
        <v>627.59300347</v>
      </c>
      <c r="AG54" s="1" t="n">
        <v>129.147709081</v>
      </c>
      <c r="AH54" s="1" t="n">
        <v>24.749</v>
      </c>
      <c r="AI54" s="1" t="n">
        <v>2.8</v>
      </c>
      <c r="AJ54" s="1" t="n">
        <v>9171.603156489</v>
      </c>
      <c r="AK54" s="1" t="n">
        <v>2440.24874939</v>
      </c>
      <c r="AL54" s="1" t="n">
        <v>6977.923071638</v>
      </c>
      <c r="AM54" s="1" t="n">
        <v>3997.222014445</v>
      </c>
      <c r="AO54" s="3" t="n">
        <f aca="false">D54/K54</f>
        <v>0.431089779930429</v>
      </c>
      <c r="AP54" s="3" t="n">
        <f aca="false">(1+D54/K54)</f>
        <v>1.43108977993043</v>
      </c>
      <c r="AQ54" s="3" t="n">
        <f aca="false">LN(AO54)</f>
        <v>-0.841438904468009</v>
      </c>
      <c r="AR54" s="3" t="n">
        <f aca="false">LN(AP54)</f>
        <v>0.358436237900786</v>
      </c>
    </row>
    <row r="55" customFormat="false" ht="15" hidden="false" customHeight="false" outlineLevel="0" collapsed="false">
      <c r="A55" s="5" t="n">
        <v>42156</v>
      </c>
      <c r="B55" s="1" t="n">
        <v>103.231203804333</v>
      </c>
      <c r="C55" s="1" t="n">
        <v>236.901694659333</v>
      </c>
      <c r="D55" s="1" t="n">
        <v>11363.827704545</v>
      </c>
      <c r="E55" s="1" t="n">
        <v>9529.526660263</v>
      </c>
      <c r="F55" s="1" t="n">
        <v>-1441.327989168</v>
      </c>
      <c r="G55" s="1" t="n">
        <v>4791.881896722</v>
      </c>
      <c r="H55" s="1" t="n">
        <v>5327.755501462</v>
      </c>
      <c r="I55" s="1" t="n">
        <v>-490.129890972</v>
      </c>
      <c r="J55" s="1" t="n">
        <v>55.9722648256667</v>
      </c>
      <c r="K55" s="1" t="n">
        <v>24629.4385054668</v>
      </c>
      <c r="L55" s="1" t="n">
        <v>89.538771219</v>
      </c>
      <c r="M55" s="1" t="n">
        <v>95.96328</v>
      </c>
      <c r="N55" s="1" t="n">
        <v>98.8951367690296</v>
      </c>
      <c r="O55" s="1" t="n">
        <v>54.1312986936786</v>
      </c>
      <c r="P55" s="1" t="n">
        <v>55.8306571145732</v>
      </c>
      <c r="Q55" s="1" t="n">
        <v>100.007507353115</v>
      </c>
      <c r="R55" s="1" t="n">
        <v>52.9803919499463</v>
      </c>
      <c r="S55" s="1" t="n">
        <v>51.3788030668448</v>
      </c>
      <c r="T55" s="1" t="n">
        <v>92.66430631745</v>
      </c>
      <c r="U55" s="1" t="n">
        <v>2412.1346637</v>
      </c>
      <c r="V55" s="1" t="n">
        <v>50.4948095460946</v>
      </c>
      <c r="W55" s="1" t="n">
        <v>94.80807</v>
      </c>
      <c r="X55" s="1" t="n">
        <v>5024.620547185</v>
      </c>
      <c r="Y55" s="1" t="n">
        <v>5378.992678558</v>
      </c>
      <c r="Z55" s="1" t="n">
        <v>588.230767592</v>
      </c>
      <c r="AA55" s="1" t="n">
        <v>808.42524507</v>
      </c>
      <c r="AB55" s="1" t="n">
        <v>5609.693919144</v>
      </c>
      <c r="AC55" s="1" t="n">
        <v>6175.61738878</v>
      </c>
      <c r="AD55" s="1" t="n">
        <v>35.640500351</v>
      </c>
      <c r="AE55" s="1" t="n">
        <v>449.563510375</v>
      </c>
      <c r="AF55" s="1" t="n">
        <v>645.653759517</v>
      </c>
      <c r="AG55" s="1" t="n">
        <v>128.86225157</v>
      </c>
      <c r="AH55" s="1" t="n">
        <v>25.313</v>
      </c>
      <c r="AI55" s="1" t="n">
        <v>2.8</v>
      </c>
      <c r="AJ55" s="1" t="n">
        <v>9481.262563704</v>
      </c>
      <c r="AK55" s="1" t="n">
        <v>2407.672616173</v>
      </c>
      <c r="AL55" s="1" t="n">
        <v>7019.732519356</v>
      </c>
      <c r="AM55" s="1" t="n">
        <v>3982.669018354</v>
      </c>
      <c r="AO55" s="3" t="n">
        <f aca="false">D55/K55</f>
        <v>0.461392073636704</v>
      </c>
      <c r="AP55" s="3" t="n">
        <f aca="false">(1+D55/K55)</f>
        <v>1.4613920736367</v>
      </c>
      <c r="AQ55" s="3" t="n">
        <f aca="false">LN(AO55)</f>
        <v>-0.773507112330868</v>
      </c>
      <c r="AR55" s="3" t="n">
        <f aca="false">LN(AP55)</f>
        <v>0.379389456545234</v>
      </c>
    </row>
    <row r="56" customFormat="false" ht="15" hidden="false" customHeight="false" outlineLevel="0" collapsed="false">
      <c r="A56" s="5" t="n">
        <v>42248</v>
      </c>
      <c r="B56" s="1" t="n">
        <v>103.820773147</v>
      </c>
      <c r="C56" s="1" t="n">
        <v>237.758061252</v>
      </c>
      <c r="D56" s="1" t="n">
        <v>10752.424974721</v>
      </c>
      <c r="E56" s="1" t="n">
        <v>9489.179359739</v>
      </c>
      <c r="F56" s="1" t="n">
        <v>-825.123650679</v>
      </c>
      <c r="G56" s="1" t="n">
        <v>4431.690677722</v>
      </c>
      <c r="H56" s="1" t="n">
        <v>4831.722653428</v>
      </c>
      <c r="I56" s="1" t="n">
        <v>-352.532353747</v>
      </c>
      <c r="J56" s="1" t="n">
        <v>44.2137803553333</v>
      </c>
      <c r="K56" s="1" t="n">
        <v>24230.5378797874</v>
      </c>
      <c r="L56" s="1" t="n">
        <v>90.0501409653333</v>
      </c>
      <c r="M56" s="1" t="n">
        <v>96.21767</v>
      </c>
      <c r="N56" s="1" t="n">
        <v>95.5132122769745</v>
      </c>
      <c r="O56" s="1" t="n">
        <v>52.2801665670659</v>
      </c>
      <c r="P56" s="1" t="n">
        <v>56.1495146169818</v>
      </c>
      <c r="Q56" s="1" t="n">
        <v>100.369020547169</v>
      </c>
      <c r="R56" s="1" t="n">
        <v>51.168617468531</v>
      </c>
      <c r="S56" s="1" t="n">
        <v>51.6722353434705</v>
      </c>
      <c r="T56" s="1" t="n">
        <v>92.9992748636945</v>
      </c>
      <c r="U56" s="1" t="n">
        <v>2180.133489956</v>
      </c>
      <c r="V56" s="1" t="n">
        <v>50.6142724576535</v>
      </c>
      <c r="W56" s="1" t="n">
        <v>95.05359</v>
      </c>
      <c r="X56" s="1" t="n">
        <v>4594.962997706</v>
      </c>
      <c r="Y56" s="1" t="n">
        <v>4890.525567298</v>
      </c>
      <c r="Z56" s="1" t="n">
        <v>614.587353695</v>
      </c>
      <c r="AA56" s="1" t="n">
        <v>757.155424912</v>
      </c>
      <c r="AB56" s="1" t="n">
        <v>5211.141010968</v>
      </c>
      <c r="AC56" s="1" t="n">
        <v>5651.294341046</v>
      </c>
      <c r="AD56" s="1" t="n">
        <v>33.176431833</v>
      </c>
      <c r="AE56" s="1" t="n">
        <v>505.021535143</v>
      </c>
      <c r="AF56" s="1" t="n">
        <v>670.982408575</v>
      </c>
      <c r="AG56" s="1" t="n">
        <v>235.92454949</v>
      </c>
      <c r="AH56" s="1" t="n">
        <v>21.7222</v>
      </c>
      <c r="AI56" s="1" t="n">
        <v>2.8</v>
      </c>
      <c r="AJ56" s="1" t="n">
        <v>9417.566545257</v>
      </c>
      <c r="AK56" s="1" t="n">
        <v>2072.100306256</v>
      </c>
      <c r="AL56" s="1" t="n">
        <v>7242.897203536</v>
      </c>
      <c r="AM56" s="1" t="n">
        <v>4456.274966848</v>
      </c>
      <c r="AO56" s="3" t="n">
        <f aca="false">D56/K56</f>
        <v>0.443755108865761</v>
      </c>
      <c r="AP56" s="3" t="n">
        <f aca="false">(1+D56/K56)</f>
        <v>1.44375510886576</v>
      </c>
      <c r="AQ56" s="3" t="n">
        <f aca="false">LN(AO56)</f>
        <v>-0.812482425321859</v>
      </c>
      <c r="AR56" s="3" t="n">
        <f aca="false">LN(AP56)</f>
        <v>0.367247433890025</v>
      </c>
    </row>
    <row r="57" customFormat="false" ht="15" hidden="false" customHeight="false" outlineLevel="0" collapsed="false">
      <c r="A57" s="5" t="n">
        <v>42339</v>
      </c>
      <c r="B57" s="1" t="n">
        <v>104.119157252333</v>
      </c>
      <c r="C57" s="1" t="n">
        <v>237.933815604</v>
      </c>
      <c r="D57" s="1" t="n">
        <v>10290.166430483</v>
      </c>
      <c r="E57" s="1" t="n">
        <v>8659.454414215</v>
      </c>
      <c r="F57" s="1" t="n">
        <v>-2229.525438319</v>
      </c>
      <c r="G57" s="1" t="n">
        <v>4110.833208754</v>
      </c>
      <c r="H57" s="1" t="n">
        <v>4271.32612552</v>
      </c>
      <c r="I57" s="1" t="n">
        <v>-174.386303721</v>
      </c>
      <c r="J57" s="1" t="n">
        <v>43.53755832</v>
      </c>
      <c r="K57" s="1" t="n">
        <v>23921.0470088987</v>
      </c>
      <c r="L57" s="1" t="n">
        <v>90.3089478486667</v>
      </c>
      <c r="M57" s="1" t="n">
        <v>96.2157</v>
      </c>
      <c r="N57" s="1" t="n">
        <v>95.1760318135438</v>
      </c>
      <c r="O57" s="1" t="n">
        <v>52.0956072755179</v>
      </c>
      <c r="P57" s="1" t="n">
        <v>56.3108900544404</v>
      </c>
      <c r="Q57" s="1" t="n">
        <v>100.443214843985</v>
      </c>
      <c r="R57" s="1" t="n">
        <v>50.987982164369</v>
      </c>
      <c r="S57" s="1" t="n">
        <v>51.8207429421541</v>
      </c>
      <c r="T57" s="1" t="n">
        <v>93.0680213331268</v>
      </c>
      <c r="U57" s="1" t="n">
        <v>1796.7657066</v>
      </c>
      <c r="V57" s="1" t="n">
        <v>50.8781062177834</v>
      </c>
      <c r="W57" s="1" t="n">
        <v>94.98051</v>
      </c>
      <c r="X57" s="1" t="n">
        <v>4276.92010557</v>
      </c>
      <c r="Y57" s="1" t="n">
        <v>4391.207031953</v>
      </c>
      <c r="Z57" s="1" t="n">
        <v>562.55503996</v>
      </c>
      <c r="AA57" s="1" t="n">
        <v>736.441587901</v>
      </c>
      <c r="AB57" s="1" t="n">
        <v>4860.817336337</v>
      </c>
      <c r="AC57" s="1" t="n">
        <v>5128.831730485</v>
      </c>
      <c r="AD57" s="1" t="n">
        <v>39.692132699</v>
      </c>
      <c r="AE57" s="1" t="n">
        <v>502.967459786</v>
      </c>
      <c r="AF57" s="1" t="n">
        <v>693.468074605</v>
      </c>
      <c r="AG57" s="1" t="n">
        <v>187.18920512</v>
      </c>
      <c r="AH57" s="1" t="n">
        <v>26.9280757446355</v>
      </c>
      <c r="AI57" s="1" t="n">
        <v>275.3262723</v>
      </c>
      <c r="AJ57" s="1" t="n">
        <v>8039.624224348</v>
      </c>
      <c r="AK57" s="1" t="n">
        <v>1684.883334465</v>
      </c>
      <c r="AL57" s="1" t="n">
        <v>6287.277423113</v>
      </c>
      <c r="AM57" s="1" t="n">
        <v>3493.113909588</v>
      </c>
      <c r="AO57" s="3" t="n">
        <f aca="false">D57/K57</f>
        <v>0.430172075104197</v>
      </c>
      <c r="AP57" s="3" t="n">
        <f aca="false">(1+D57/K57)</f>
        <v>1.4301720751042</v>
      </c>
      <c r="AQ57" s="3" t="n">
        <f aca="false">LN(AO57)</f>
        <v>-0.84356997568213</v>
      </c>
      <c r="AR57" s="3" t="n">
        <f aca="false">LN(AP57)</f>
        <v>0.35779476927317</v>
      </c>
    </row>
    <row r="58" customFormat="false" ht="15" hidden="false" customHeight="false" outlineLevel="0" collapsed="false">
      <c r="A58" s="5" t="n">
        <v>42430</v>
      </c>
      <c r="B58" s="1" t="n">
        <v>104.445740305</v>
      </c>
      <c r="C58" s="1" t="n">
        <v>237.983691574667</v>
      </c>
      <c r="D58" s="1" t="n">
        <v>10792.184474134</v>
      </c>
      <c r="E58" s="1" t="n">
        <v>8852.643894325</v>
      </c>
      <c r="F58" s="1" t="n">
        <v>-1789.301916201</v>
      </c>
      <c r="G58" s="1" t="n">
        <v>3728.757836002</v>
      </c>
      <c r="H58" s="1" t="n">
        <v>3853.101901073</v>
      </c>
      <c r="I58" s="1" t="n">
        <v>-203.593915735</v>
      </c>
      <c r="J58" s="1" t="n">
        <v>35.8153500676667</v>
      </c>
      <c r="K58" s="1" t="n">
        <v>23464.2528217753</v>
      </c>
      <c r="L58" s="1" t="n">
        <v>90.5922134133333</v>
      </c>
      <c r="M58" s="1" t="n">
        <v>96.13189</v>
      </c>
      <c r="N58" s="1" t="n">
        <v>94.6924869680792</v>
      </c>
      <c r="O58" s="1" t="n">
        <v>51.830933892005</v>
      </c>
      <c r="P58" s="1" t="n">
        <v>56.4875163627747</v>
      </c>
      <c r="Q58" s="1" t="n">
        <v>100.464269870672</v>
      </c>
      <c r="R58" s="1" t="n">
        <v>50.7289361053305</v>
      </c>
      <c r="S58" s="1" t="n">
        <v>51.9832853298195</v>
      </c>
      <c r="T58" s="1" t="n">
        <v>93.0875303629393</v>
      </c>
      <c r="U58" s="1" t="n">
        <v>1565.98444099</v>
      </c>
      <c r="V58" s="1" t="n">
        <v>52.8112194696056</v>
      </c>
      <c r="W58" s="1" t="n">
        <v>95.02631</v>
      </c>
      <c r="X58" s="1" t="n">
        <v>3855.781877245</v>
      </c>
      <c r="Y58" s="1" t="n">
        <v>3947.113481053</v>
      </c>
      <c r="Z58" s="1" t="n">
        <v>670.211010178</v>
      </c>
      <c r="AA58" s="1" t="n">
        <v>874.599604107</v>
      </c>
      <c r="AB58" s="1" t="n">
        <v>4515.383221878</v>
      </c>
      <c r="AC58" s="1" t="n">
        <v>4835.980669042</v>
      </c>
      <c r="AD58" s="1" t="n">
        <v>38.194012564</v>
      </c>
      <c r="AE58" s="1" t="n">
        <v>504.943745103</v>
      </c>
      <c r="AF58" s="1" t="n">
        <v>742.370422008</v>
      </c>
      <c r="AG58" s="1" t="n">
        <v>153.7886811</v>
      </c>
      <c r="AH58" s="1" t="n">
        <v>21.929</v>
      </c>
      <c r="AI58" s="1" t="n">
        <v>553.43553395</v>
      </c>
      <c r="AJ58" s="1" t="n">
        <v>7908.649935704</v>
      </c>
      <c r="AK58" s="1" t="n">
        <v>1387.811207086</v>
      </c>
      <c r="AL58" s="1" t="n">
        <v>6356.517876926</v>
      </c>
      <c r="AM58" s="1" t="n">
        <v>3411.55015414</v>
      </c>
      <c r="AO58" s="3" t="n">
        <f aca="false">D58/K58</f>
        <v>0.459941535582102</v>
      </c>
      <c r="AP58" s="3" t="n">
        <f aca="false">(1+D58/K58)</f>
        <v>1.4599415355821</v>
      </c>
      <c r="AQ58" s="3" t="n">
        <f aca="false">LN(AO58)</f>
        <v>-0.776655894137097</v>
      </c>
      <c r="AR58" s="3" t="n">
        <f aca="false">LN(AP58)</f>
        <v>0.37839639079661</v>
      </c>
    </row>
    <row r="59" customFormat="false" ht="15" hidden="false" customHeight="false" outlineLevel="0" collapsed="false">
      <c r="A59" s="5" t="n">
        <v>42522</v>
      </c>
      <c r="B59" s="1" t="n">
        <v>104.949361574333</v>
      </c>
      <c r="C59" s="1" t="n">
        <v>239.410613133667</v>
      </c>
      <c r="D59" s="1" t="n">
        <v>10306.098386364</v>
      </c>
      <c r="E59" s="1" t="n">
        <v>8096.503906477</v>
      </c>
      <c r="F59" s="1" t="n">
        <v>-1939.251534958</v>
      </c>
      <c r="G59" s="1" t="n">
        <v>4171.614801291</v>
      </c>
      <c r="H59" s="1" t="n">
        <v>3611.419170579</v>
      </c>
      <c r="I59" s="1" t="n">
        <v>563.497477406</v>
      </c>
      <c r="J59" s="1" t="n">
        <v>43.458137344</v>
      </c>
      <c r="K59" s="1" t="n">
        <v>24221.4487865601</v>
      </c>
      <c r="L59" s="1" t="n">
        <v>91.0290351103333</v>
      </c>
      <c r="M59" s="1" t="n">
        <v>96.78561</v>
      </c>
      <c r="N59" s="1" t="n">
        <v>97.4367124690612</v>
      </c>
      <c r="O59" s="1" t="n">
        <v>53.3330147336888</v>
      </c>
      <c r="P59" s="1" t="n">
        <v>56.7598904644761</v>
      </c>
      <c r="Q59" s="1" t="n">
        <v>101.066641535886</v>
      </c>
      <c r="R59" s="1" t="n">
        <v>52.1990806179026</v>
      </c>
      <c r="S59" s="1" t="n">
        <v>52.2339407233805</v>
      </c>
      <c r="T59" s="1" t="n">
        <v>93.6456719863003</v>
      </c>
      <c r="U59" s="1" t="n">
        <v>1697.077764961</v>
      </c>
      <c r="V59" s="1" t="n">
        <v>53.4726814742383</v>
      </c>
      <c r="W59" s="1" t="n">
        <v>95.62938</v>
      </c>
      <c r="X59" s="1" t="n">
        <v>4367.117886215</v>
      </c>
      <c r="Y59" s="1" t="n">
        <v>3671.887441573</v>
      </c>
      <c r="Z59" s="1" t="n">
        <v>646.989984888</v>
      </c>
      <c r="AA59" s="1" t="n">
        <v>886.835762011</v>
      </c>
      <c r="AB59" s="1" t="n">
        <v>5004.188382823</v>
      </c>
      <c r="AC59" s="1" t="n">
        <v>4547.527621341</v>
      </c>
      <c r="AD59" s="1" t="n">
        <v>39.682761562</v>
      </c>
      <c r="AE59" s="1" t="n">
        <v>497.365428702</v>
      </c>
      <c r="AF59" s="1" t="n">
        <v>816.274738198</v>
      </c>
      <c r="AG59" s="1" t="n">
        <v>142.06584779</v>
      </c>
      <c r="AH59" s="1" t="n">
        <v>152.91386190574</v>
      </c>
      <c r="AI59" s="1" t="n">
        <v>333.92703896</v>
      </c>
      <c r="AJ59" s="1" t="n">
        <v>7843.482273021</v>
      </c>
      <c r="AK59" s="1" t="n">
        <v>1717.73205372</v>
      </c>
      <c r="AL59" s="1" t="n">
        <v>6084.927320139</v>
      </c>
      <c r="AM59" s="1" t="n">
        <v>3445.345307365</v>
      </c>
      <c r="AO59" s="3" t="n">
        <f aca="false">D59/K59</f>
        <v>0.425494712441917</v>
      </c>
      <c r="AP59" s="3" t="n">
        <f aca="false">(1+D59/K59)</f>
        <v>1.42549471244192</v>
      </c>
      <c r="AQ59" s="3" t="n">
        <f aca="false">LN(AO59)</f>
        <v>-0.854502757739418</v>
      </c>
      <c r="AR59" s="3" t="n">
        <f aca="false">LN(AP59)</f>
        <v>0.354518920098131</v>
      </c>
    </row>
    <row r="60" customFormat="false" ht="15" hidden="false" customHeight="false" outlineLevel="0" collapsed="false">
      <c r="A60" s="5" t="n">
        <v>42614</v>
      </c>
      <c r="B60" s="1" t="n">
        <v>105.277881966333</v>
      </c>
      <c r="C60" s="1" t="n">
        <v>240.494604611667</v>
      </c>
      <c r="D60" s="1" t="n">
        <v>10816.1665741</v>
      </c>
      <c r="E60" s="1" t="n">
        <v>8587.723122693</v>
      </c>
      <c r="F60" s="1" t="n">
        <v>-1986.262956179</v>
      </c>
      <c r="G60" s="1" t="n">
        <v>4243.650395408</v>
      </c>
      <c r="H60" s="1" t="n">
        <v>3868.315666089</v>
      </c>
      <c r="I60" s="1" t="n">
        <v>388.070136582</v>
      </c>
      <c r="J60" s="1" t="n">
        <v>43.268645841</v>
      </c>
      <c r="K60" s="1" t="n">
        <v>24485.6603046534</v>
      </c>
      <c r="L60" s="1" t="n">
        <v>91.3139810483333</v>
      </c>
      <c r="M60" s="1" t="n">
        <v>97.0331</v>
      </c>
      <c r="N60" s="1" t="n">
        <v>98.0970684745245</v>
      </c>
      <c r="O60" s="1" t="n">
        <v>53.6944675749887</v>
      </c>
      <c r="P60" s="1" t="n">
        <v>56.9375645463909</v>
      </c>
      <c r="Q60" s="1" t="n">
        <v>101.524246053502</v>
      </c>
      <c r="R60" s="1" t="n">
        <v>52.5528484687693</v>
      </c>
      <c r="S60" s="1" t="n">
        <v>52.3974473367104</v>
      </c>
      <c r="T60" s="1" t="n">
        <v>94.0696762067317</v>
      </c>
      <c r="U60" s="1" t="n">
        <v>1937.173875157</v>
      </c>
      <c r="V60" s="1" t="n">
        <v>53.8748990844642</v>
      </c>
      <c r="W60" s="1" t="n">
        <v>95.95869</v>
      </c>
      <c r="X60" s="1" t="n">
        <v>4394.207605198</v>
      </c>
      <c r="Y60" s="1" t="n">
        <v>3958.369869365</v>
      </c>
      <c r="Z60" s="1" t="n">
        <v>676.09461311</v>
      </c>
      <c r="AA60" s="1" t="n">
        <v>949.624370013</v>
      </c>
      <c r="AB60" s="1" t="n">
        <v>5073.029238616</v>
      </c>
      <c r="AC60" s="1" t="n">
        <v>4906.28981756</v>
      </c>
      <c r="AD60" s="1" t="n">
        <v>43.293131292</v>
      </c>
      <c r="AE60" s="1" t="n">
        <v>487.857864175</v>
      </c>
      <c r="AF60" s="1" t="n">
        <v>781.695524843</v>
      </c>
      <c r="AG60" s="1" t="n">
        <v>321.17305607</v>
      </c>
      <c r="AH60" s="1" t="n">
        <v>171.08323472589</v>
      </c>
      <c r="AI60" s="1" t="n">
        <v>2.8</v>
      </c>
      <c r="AJ60" s="1" t="n">
        <v>8396.495026147</v>
      </c>
      <c r="AK60" s="1" t="n">
        <v>2002.784458334</v>
      </c>
      <c r="AL60" s="1" t="n">
        <v>6483.515960334</v>
      </c>
      <c r="AM60" s="1" t="n">
        <v>3791.678172811</v>
      </c>
      <c r="AO60" s="3" t="n">
        <f aca="false">D60/K60</f>
        <v>0.441734731247759</v>
      </c>
      <c r="AP60" s="3" t="n">
        <f aca="false">(1+D60/K60)</f>
        <v>1.44173473124776</v>
      </c>
      <c r="AQ60" s="3" t="n">
        <f aca="false">LN(AO60)</f>
        <v>-0.817045732617924</v>
      </c>
      <c r="AR60" s="3" t="n">
        <f aca="false">LN(AP60)</f>
        <v>0.365847063027453</v>
      </c>
    </row>
    <row r="61" customFormat="false" ht="15" hidden="false" customHeight="false" outlineLevel="0" collapsed="false">
      <c r="A61" s="5" t="n">
        <v>42705</v>
      </c>
      <c r="B61" s="1" t="n">
        <v>105.339355176333</v>
      </c>
      <c r="C61" s="1" t="n">
        <v>242.150015247333</v>
      </c>
      <c r="D61" s="1" t="n">
        <v>11051.617315525</v>
      </c>
      <c r="E61" s="1" t="n">
        <v>10378.258221867</v>
      </c>
      <c r="F61" s="1" t="n">
        <v>-1646.699347201</v>
      </c>
      <c r="G61" s="1" t="n">
        <v>4632.624067179</v>
      </c>
      <c r="H61" s="1" t="n">
        <v>4227.449102785</v>
      </c>
      <c r="I61" s="1" t="n">
        <v>415.88418157</v>
      </c>
      <c r="J61" s="1" t="n">
        <v>50.2717732426667</v>
      </c>
      <c r="K61" s="1" t="n">
        <v>25500.0707536545</v>
      </c>
      <c r="L61" s="1" t="n">
        <v>91.3673005436667</v>
      </c>
      <c r="M61" s="1" t="n">
        <v>97.50244</v>
      </c>
      <c r="N61" s="1" t="n">
        <v>98.9312785611133</v>
      </c>
      <c r="O61" s="1" t="n">
        <v>54.1510812856899</v>
      </c>
      <c r="P61" s="1" t="n">
        <v>56.9708111770874</v>
      </c>
      <c r="Q61" s="1" t="n">
        <v>102.223073858667</v>
      </c>
      <c r="R61" s="1" t="n">
        <v>52.9997539365204</v>
      </c>
      <c r="S61" s="1" t="n">
        <v>52.4280429302333</v>
      </c>
      <c r="T61" s="1" t="n">
        <v>94.71719153348</v>
      </c>
      <c r="U61" s="1" t="n">
        <v>2131.762304618</v>
      </c>
      <c r="V61" s="1" t="n">
        <v>53.4024322063892</v>
      </c>
      <c r="W61" s="1" t="n">
        <v>96.39809</v>
      </c>
      <c r="X61" s="1" t="n">
        <v>4777.062559303</v>
      </c>
      <c r="Y61" s="1" t="n">
        <v>4265.786777666</v>
      </c>
      <c r="Z61" s="1" t="n">
        <v>677.064920196</v>
      </c>
      <c r="AA61" s="1" t="n">
        <v>928.674692651</v>
      </c>
      <c r="AB61" s="1" t="n">
        <v>5472.683201321</v>
      </c>
      <c r="AC61" s="1" t="n">
        <v>5188.722847035</v>
      </c>
      <c r="AD61" s="1" t="n">
        <v>42.003400157</v>
      </c>
      <c r="AE61" s="1" t="n">
        <v>492.052299744</v>
      </c>
      <c r="AF61" s="1" t="n">
        <v>792.380712836</v>
      </c>
      <c r="AG61" s="1" t="n">
        <v>190.27089945</v>
      </c>
      <c r="AH61" s="1" t="n">
        <v>73.6466963131918</v>
      </c>
      <c r="AI61" s="1" t="n">
        <v>2.8</v>
      </c>
      <c r="AJ61" s="1" t="n">
        <v>8944.850123269</v>
      </c>
      <c r="AK61" s="1" t="n">
        <v>2189.982627963</v>
      </c>
      <c r="AL61" s="1" t="n">
        <v>6851.408935953</v>
      </c>
      <c r="AM61" s="1" t="n">
        <v>3621.791320147</v>
      </c>
      <c r="AO61" s="3" t="n">
        <f aca="false">D61/K61</f>
        <v>0.433395554949241</v>
      </c>
      <c r="AP61" s="3" t="n">
        <f aca="false">(1+D61/K61)</f>
        <v>1.43339555494924</v>
      </c>
      <c r="AQ61" s="3" t="n">
        <f aca="false">LN(AO61)</f>
        <v>-0.836104446164036</v>
      </c>
      <c r="AR61" s="3" t="n">
        <f aca="false">LN(AP61)</f>
        <v>0.360046143518904</v>
      </c>
    </row>
    <row r="62" customFormat="false" ht="15" hidden="false" customHeight="false" outlineLevel="0" collapsed="false">
      <c r="A62" s="5" t="n">
        <v>42795</v>
      </c>
      <c r="B62" s="1" t="n">
        <v>105.440051518333</v>
      </c>
      <c r="C62" s="1" t="n">
        <v>243.945497478333</v>
      </c>
      <c r="D62" s="1" t="n">
        <v>10795.880875047</v>
      </c>
      <c r="E62" s="1" t="n">
        <v>9340.968782041</v>
      </c>
      <c r="F62" s="1" t="n">
        <v>-1454.389603294</v>
      </c>
      <c r="G62" s="1" t="n">
        <v>4845.276925607</v>
      </c>
      <c r="H62" s="1" t="n">
        <v>4423.23182728</v>
      </c>
      <c r="I62" s="1" t="n">
        <v>382.876687498</v>
      </c>
      <c r="J62" s="1" t="n">
        <v>53.978017569</v>
      </c>
      <c r="K62" s="1" t="n">
        <v>26137.7698721954</v>
      </c>
      <c r="L62" s="1" t="n">
        <v>91.4546406733333</v>
      </c>
      <c r="M62" s="1" t="n">
        <v>97.99939</v>
      </c>
      <c r="N62" s="1" t="n">
        <v>97.9616659630272</v>
      </c>
      <c r="O62" s="1" t="n">
        <v>53.620353578758</v>
      </c>
      <c r="P62" s="1" t="n">
        <v>57.025270901819</v>
      </c>
      <c r="Q62" s="1" t="n">
        <v>102.981032566719</v>
      </c>
      <c r="R62" s="1" t="n">
        <v>52.4803102392415</v>
      </c>
      <c r="S62" s="1" t="n">
        <v>52.4781601170383</v>
      </c>
      <c r="T62" s="1" t="n">
        <v>95.419495987993</v>
      </c>
      <c r="U62" s="1" t="n">
        <v>2441.930074445</v>
      </c>
      <c r="V62" s="1" t="n">
        <v>53.6476555135882</v>
      </c>
      <c r="W62" s="1" t="n">
        <v>96.96025</v>
      </c>
      <c r="X62" s="1" t="n">
        <v>4936.292793706</v>
      </c>
      <c r="Y62" s="1" t="n">
        <v>4530.808940031</v>
      </c>
      <c r="Z62" s="1" t="n">
        <v>711.648893053</v>
      </c>
      <c r="AA62" s="1" t="n">
        <v>869.54586248</v>
      </c>
      <c r="AB62" s="1" t="n">
        <v>5635.307298574</v>
      </c>
      <c r="AC62" s="1" t="n">
        <v>5408.142833122</v>
      </c>
      <c r="AD62" s="1" t="n">
        <v>43.404759614</v>
      </c>
      <c r="AE62" s="1" t="n">
        <v>636.312218524</v>
      </c>
      <c r="AF62" s="1" t="n">
        <v>785.750964475</v>
      </c>
      <c r="AG62" s="1" t="n">
        <v>143.8448838</v>
      </c>
      <c r="AH62" s="1" t="n">
        <v>21.542</v>
      </c>
      <c r="AI62" s="1" t="n">
        <v>2.8</v>
      </c>
      <c r="AJ62" s="1" t="n">
        <v>8953.383584291</v>
      </c>
      <c r="AK62" s="1" t="n">
        <v>2410.513504943</v>
      </c>
      <c r="AL62" s="1" t="n">
        <v>6501.921856716</v>
      </c>
      <c r="AM62" s="1" t="n">
        <v>3575.678201634</v>
      </c>
      <c r="AO62" s="3" t="n">
        <f aca="false">D62/K62</f>
        <v>0.413037567008781</v>
      </c>
      <c r="AP62" s="3" t="n">
        <f aca="false">(1+D62/K62)</f>
        <v>1.41303756700878</v>
      </c>
      <c r="AQ62" s="3" t="n">
        <f aca="false">LN(AO62)</f>
        <v>-0.88421672887749</v>
      </c>
      <c r="AR62" s="3" t="n">
        <f aca="false">LN(AP62)</f>
        <v>0.34574169005016</v>
      </c>
    </row>
    <row r="63" customFormat="false" ht="15" hidden="false" customHeight="false" outlineLevel="0" collapsed="false">
      <c r="A63" s="5" t="n">
        <v>42887</v>
      </c>
      <c r="B63" s="1" t="n">
        <v>105.768329661</v>
      </c>
      <c r="C63" s="1" t="n">
        <v>244.045053258333</v>
      </c>
      <c r="D63" s="1" t="n">
        <v>10620.665580596</v>
      </c>
      <c r="E63" s="1" t="n">
        <v>8853.603329257</v>
      </c>
      <c r="F63" s="1" t="n">
        <v>-1392.409407002</v>
      </c>
      <c r="G63" s="1" t="n">
        <v>4528.493539347</v>
      </c>
      <c r="H63" s="1" t="n">
        <v>4611.554456169</v>
      </c>
      <c r="I63" s="1" t="n">
        <v>-60.571980558</v>
      </c>
      <c r="J63" s="1" t="n">
        <v>46.4509627636667</v>
      </c>
      <c r="K63" s="1" t="n">
        <v>26321.8463308198</v>
      </c>
      <c r="L63" s="1" t="n">
        <v>91.7393764936667</v>
      </c>
      <c r="M63" s="1" t="n">
        <v>98.25575</v>
      </c>
      <c r="N63" s="1" t="n">
        <v>98.1065269472443</v>
      </c>
      <c r="O63" s="1" t="n">
        <v>53.6996447700329</v>
      </c>
      <c r="P63" s="1" t="n">
        <v>57.2028139677332</v>
      </c>
      <c r="Q63" s="1" t="n">
        <v>103.023059811035</v>
      </c>
      <c r="R63" s="1" t="n">
        <v>52.5579155894419</v>
      </c>
      <c r="S63" s="1" t="n">
        <v>52.6415461613897</v>
      </c>
      <c r="T63" s="1" t="n">
        <v>95.4584373189398</v>
      </c>
      <c r="U63" s="1" t="n">
        <v>2155.086093185</v>
      </c>
      <c r="V63" s="1" t="n">
        <v>53.038784995268</v>
      </c>
      <c r="W63" s="1" t="n">
        <v>97.15511</v>
      </c>
      <c r="X63" s="1" t="n">
        <v>4676.752033044</v>
      </c>
      <c r="Y63" s="1" t="n">
        <v>4672.726834737</v>
      </c>
      <c r="Z63" s="1" t="n">
        <v>737.120961258</v>
      </c>
      <c r="AA63" s="1" t="n">
        <v>931.391254249</v>
      </c>
      <c r="AB63" s="1" t="n">
        <v>5401.691471154</v>
      </c>
      <c r="AC63" s="1" t="n">
        <v>5608.837458867</v>
      </c>
      <c r="AD63" s="1" t="n">
        <v>44.131450494</v>
      </c>
      <c r="AE63" s="1" t="n">
        <v>607.701877521</v>
      </c>
      <c r="AF63" s="1" t="n">
        <v>806.915861934</v>
      </c>
      <c r="AG63" s="1" t="n">
        <v>147.2709492</v>
      </c>
      <c r="AH63" s="1" t="n">
        <v>25.316</v>
      </c>
      <c r="AI63" s="1" t="n">
        <v>2.8</v>
      </c>
      <c r="AJ63" s="1" t="n">
        <v>8768.788321462</v>
      </c>
      <c r="AK63" s="1" t="n">
        <v>2220.356220406</v>
      </c>
      <c r="AL63" s="1" t="n">
        <v>6561.381771976</v>
      </c>
      <c r="AM63" s="1" t="n">
        <v>3598.86405882</v>
      </c>
      <c r="AO63" s="3" t="n">
        <f aca="false">D63/K63</f>
        <v>0.403492424015881</v>
      </c>
      <c r="AP63" s="3" t="n">
        <f aca="false">(1+D63/K63)</f>
        <v>1.40349242401588</v>
      </c>
      <c r="AQ63" s="3" t="n">
        <f aca="false">LN(AO63)</f>
        <v>-0.907597567121557</v>
      </c>
      <c r="AR63" s="3" t="n">
        <f aca="false">LN(AP63)</f>
        <v>0.338963718882809</v>
      </c>
    </row>
    <row r="64" customFormat="false" ht="15" hidden="false" customHeight="false" outlineLevel="0" collapsed="false">
      <c r="A64" s="5" t="n">
        <v>42979</v>
      </c>
      <c r="B64" s="1" t="n">
        <v>105.391444278</v>
      </c>
      <c r="C64" s="1" t="n">
        <v>245.278534959333</v>
      </c>
      <c r="D64" s="1" t="n">
        <v>10028.634349368</v>
      </c>
      <c r="E64" s="1" t="n">
        <v>8909.432827057</v>
      </c>
      <c r="F64" s="1" t="n">
        <v>-902.322633691</v>
      </c>
      <c r="G64" s="1" t="n">
        <v>4649.771798836</v>
      </c>
      <c r="H64" s="1" t="n">
        <v>4921.951541587</v>
      </c>
      <c r="I64" s="1" t="n">
        <v>-292.560226233</v>
      </c>
      <c r="J64" s="1" t="n">
        <v>47.0048391116667</v>
      </c>
      <c r="K64" s="1" t="n">
        <v>25753.9896644714</v>
      </c>
      <c r="L64" s="1" t="n">
        <v>91.4124806243333</v>
      </c>
      <c r="M64" s="1" t="n">
        <v>98.76059</v>
      </c>
      <c r="N64" s="1" t="n">
        <v>97.9070461827508</v>
      </c>
      <c r="O64" s="1" t="n">
        <v>53.5904568645481</v>
      </c>
      <c r="P64" s="1" t="n">
        <v>56.9989825890964</v>
      </c>
      <c r="Q64" s="1" t="n">
        <v>103.543771283615</v>
      </c>
      <c r="R64" s="1" t="n">
        <v>52.4510491707825</v>
      </c>
      <c r="S64" s="1" t="n">
        <v>52.4539679955026</v>
      </c>
      <c r="T64" s="1" t="n">
        <v>95.9409147716351</v>
      </c>
      <c r="U64" s="1" t="n">
        <v>2235.913734639</v>
      </c>
      <c r="V64" s="1" t="n">
        <v>52.5915943202386</v>
      </c>
      <c r="W64" s="1" t="n">
        <v>97.49903</v>
      </c>
      <c r="X64" s="1" t="n">
        <v>4736.512271034</v>
      </c>
      <c r="Y64" s="1" t="n">
        <v>4962.858351419</v>
      </c>
      <c r="Z64" s="1" t="n">
        <v>741.051798157</v>
      </c>
      <c r="AA64" s="1" t="n">
        <v>919.340914277</v>
      </c>
      <c r="AB64" s="1" t="n">
        <v>5485.786332287</v>
      </c>
      <c r="AC64" s="1" t="n">
        <v>5879.958364819</v>
      </c>
      <c r="AD64" s="1" t="n">
        <v>45.271615337</v>
      </c>
      <c r="AE64" s="1" t="n">
        <v>638.627601957</v>
      </c>
      <c r="AF64" s="1" t="n">
        <v>847.526784443</v>
      </c>
      <c r="AG64" s="1" t="n">
        <v>196.53052102</v>
      </c>
      <c r="AH64" s="1" t="n">
        <v>61.94072543984</v>
      </c>
      <c r="AI64" s="1" t="n">
        <v>2.8</v>
      </c>
      <c r="AJ64" s="1" t="n">
        <v>9058.692709806</v>
      </c>
      <c r="AK64" s="1" t="n">
        <v>2352.878922566</v>
      </c>
      <c r="AL64" s="1" t="n">
        <v>6854.81513025</v>
      </c>
      <c r="AM64" s="1" t="n">
        <v>3540.967637178</v>
      </c>
      <c r="AO64" s="3" t="n">
        <f aca="false">D64/K64</f>
        <v>0.389401194922544</v>
      </c>
      <c r="AP64" s="3" t="n">
        <f aca="false">(1+D64/K64)</f>
        <v>1.38940119492254</v>
      </c>
      <c r="AQ64" s="3" t="n">
        <f aca="false">LN(AO64)</f>
        <v>-0.943145117423827</v>
      </c>
      <c r="AR64" s="3" t="n">
        <f aca="false">LN(AP64)</f>
        <v>0.328872859304015</v>
      </c>
    </row>
    <row r="65" customFormat="false" ht="15" hidden="false" customHeight="false" outlineLevel="0" collapsed="false">
      <c r="A65" s="5" t="n">
        <v>43070</v>
      </c>
      <c r="B65" s="1" t="n">
        <v>105.160971133</v>
      </c>
      <c r="C65" s="1" t="n">
        <v>247.216807919</v>
      </c>
      <c r="D65" s="1" t="n">
        <v>10710.063231484</v>
      </c>
      <c r="E65" s="1" t="n">
        <v>10772.684813495</v>
      </c>
      <c r="F65" s="1" t="n">
        <v>-957.804433523</v>
      </c>
      <c r="G65" s="1" t="n">
        <v>5105.296918611</v>
      </c>
      <c r="H65" s="1" t="n">
        <v>5084.347110557</v>
      </c>
      <c r="I65" s="1" t="n">
        <v>10.123867517</v>
      </c>
      <c r="J65" s="1" t="n">
        <v>56.5681622953333</v>
      </c>
      <c r="K65" s="1" t="n">
        <v>26253.8798466268</v>
      </c>
      <c r="L65" s="1" t="n">
        <v>91.2125770933333</v>
      </c>
      <c r="M65" s="1" t="n">
        <v>99.36797</v>
      </c>
      <c r="N65" s="1" t="n">
        <v>98.8810383168782</v>
      </c>
      <c r="O65" s="1" t="n">
        <v>54.1235817568356</v>
      </c>
      <c r="P65" s="1" t="n">
        <v>56.8743355186525</v>
      </c>
      <c r="Q65" s="1" t="n">
        <v>104.362008770455</v>
      </c>
      <c r="R65" s="1" t="n">
        <v>52.9728390859201</v>
      </c>
      <c r="S65" s="1" t="n">
        <v>52.3392600981541</v>
      </c>
      <c r="T65" s="1" t="n">
        <v>96.6990719453086</v>
      </c>
      <c r="U65" s="1" t="n">
        <v>2809.434173501</v>
      </c>
      <c r="V65" s="1" t="n">
        <v>52.3533038702004</v>
      </c>
      <c r="W65" s="1" t="n">
        <v>98.08262</v>
      </c>
      <c r="X65" s="1" t="n">
        <v>5204.123141948</v>
      </c>
      <c r="Y65" s="1" t="n">
        <v>5112.608506826</v>
      </c>
      <c r="Z65" s="1" t="n">
        <v>784.622397059</v>
      </c>
      <c r="AA65" s="1" t="n">
        <v>994.633260502</v>
      </c>
      <c r="AB65" s="1" t="n">
        <v>6002.347839889</v>
      </c>
      <c r="AC65" s="1" t="n">
        <v>6081.341618089</v>
      </c>
      <c r="AD65" s="1" t="n">
        <v>52.249766855</v>
      </c>
      <c r="AE65" s="1" t="n">
        <v>622.210895328</v>
      </c>
      <c r="AF65" s="1" t="n">
        <v>871.18924058</v>
      </c>
      <c r="AG65" s="1" t="n">
        <v>205.29599302</v>
      </c>
      <c r="AH65" s="1" t="n">
        <v>27.5828750871026</v>
      </c>
      <c r="AI65" s="1" t="n">
        <v>2.8</v>
      </c>
      <c r="AJ65" s="1" t="n">
        <v>9557.634801562</v>
      </c>
      <c r="AK65" s="1" t="n">
        <v>2669.384726082</v>
      </c>
      <c r="AL65" s="1" t="n">
        <v>6743.644672143</v>
      </c>
      <c r="AM65" s="1" t="n">
        <v>3658.107708056</v>
      </c>
      <c r="AO65" s="3" t="n">
        <f aca="false">D65/K65</f>
        <v>0.407942113472423</v>
      </c>
      <c r="AP65" s="3" t="n">
        <f aca="false">(1+D65/K65)</f>
        <v>1.40794211347242</v>
      </c>
      <c r="AQ65" s="3" t="n">
        <f aca="false">LN(AO65)</f>
        <v>-0.896629993387777</v>
      </c>
      <c r="AR65" s="3" t="n">
        <f aca="false">LN(AP65)</f>
        <v>0.342129144300096</v>
      </c>
    </row>
    <row r="66" customFormat="false" ht="15" hidden="false" customHeight="false" outlineLevel="0" collapsed="false">
      <c r="A66" s="5" t="n">
        <v>43160</v>
      </c>
      <c r="B66" s="1" t="n">
        <v>105.297188209</v>
      </c>
      <c r="C66" s="1" t="n">
        <v>249.282615271333</v>
      </c>
      <c r="D66" s="1" t="n">
        <v>10631.91822556</v>
      </c>
      <c r="E66" s="1" t="n">
        <v>9614.167310866</v>
      </c>
      <c r="F66" s="1" t="n">
        <v>-1032.845882995</v>
      </c>
      <c r="G66" s="1" t="n">
        <v>5325.616941691</v>
      </c>
      <c r="H66" s="1" t="n">
        <v>5236.494807774</v>
      </c>
      <c r="I66" s="1" t="n">
        <v>93.118595285</v>
      </c>
      <c r="J66" s="1" t="n">
        <v>64.078803329</v>
      </c>
      <c r="K66" s="1" t="n">
        <v>26843.3400527514</v>
      </c>
      <c r="L66" s="1" t="n">
        <v>91.33072654</v>
      </c>
      <c r="M66" s="1" t="n">
        <v>100</v>
      </c>
      <c r="N66" s="1" t="n">
        <v>99.8277833797333</v>
      </c>
      <c r="O66" s="1" t="n">
        <v>54.6417926765886</v>
      </c>
      <c r="P66" s="1" t="n">
        <v>56.9480059650198</v>
      </c>
      <c r="Q66" s="1" t="n">
        <v>105.234084608813</v>
      </c>
      <c r="R66" s="1" t="n">
        <v>53.4800321203348</v>
      </c>
      <c r="S66" s="1" t="n">
        <v>52.4070561720565</v>
      </c>
      <c r="T66" s="1" t="n">
        <v>97.5071143088921</v>
      </c>
      <c r="U66" s="1" t="n">
        <v>2990.783872549</v>
      </c>
      <c r="V66" s="1" t="n">
        <v>53.4705053094343</v>
      </c>
      <c r="W66" s="1" t="n">
        <v>98.76949</v>
      </c>
      <c r="X66" s="1" t="n">
        <v>5435.727248739</v>
      </c>
      <c r="Y66" s="1" t="n">
        <v>5310.244452418</v>
      </c>
      <c r="Z66" s="1" t="n">
        <v>801.266439172</v>
      </c>
      <c r="AA66" s="1" t="n">
        <v>949.582197311</v>
      </c>
      <c r="AB66" s="1" t="n">
        <v>6223.256744529</v>
      </c>
      <c r="AC66" s="1" t="n">
        <v>6275.97830786</v>
      </c>
      <c r="AD66" s="1" t="n">
        <v>58.130728863</v>
      </c>
      <c r="AE66" s="1" t="n">
        <v>687.215906254</v>
      </c>
      <c r="AF66" s="1" t="n">
        <v>868.070167166</v>
      </c>
      <c r="AG66" s="1" t="n">
        <v>335.84956534</v>
      </c>
      <c r="AH66" s="1" t="n">
        <v>21.918</v>
      </c>
      <c r="AI66" s="1" t="n">
        <v>2.8</v>
      </c>
      <c r="AJ66" s="1" t="n">
        <v>9634.949348605</v>
      </c>
      <c r="AK66" s="1" t="n">
        <v>3141.630778358</v>
      </c>
      <c r="AL66" s="1" t="n">
        <v>6638.661929592</v>
      </c>
      <c r="AM66" s="1" t="n">
        <v>3593.841257434</v>
      </c>
      <c r="AO66" s="3" t="n">
        <f aca="false">D66/K66</f>
        <v>0.396072851018785</v>
      </c>
      <c r="AP66" s="3" t="n">
        <f aca="false">(1+D66/K66)</f>
        <v>1.39607285101879</v>
      </c>
      <c r="AQ66" s="3" t="n">
        <f aca="false">LN(AO66)</f>
        <v>-0.926157117428395</v>
      </c>
      <c r="AR66" s="3" t="n">
        <f aca="false">LN(AP66)</f>
        <v>0.333663188522105</v>
      </c>
    </row>
    <row r="67" customFormat="false" ht="15" hidden="false" customHeight="false" outlineLevel="0" collapsed="false">
      <c r="A67" s="5" t="n">
        <v>43252</v>
      </c>
      <c r="B67" s="1" t="n">
        <v>104.885686629333</v>
      </c>
      <c r="C67" s="1" t="n">
        <v>250.747852785</v>
      </c>
      <c r="D67" s="1" t="n">
        <v>11172.454810974</v>
      </c>
      <c r="E67" s="1" t="n">
        <v>9820.417483313</v>
      </c>
      <c r="F67" s="1" t="n">
        <v>-872.821892242</v>
      </c>
      <c r="G67" s="1" t="n">
        <v>5386.653749472</v>
      </c>
      <c r="H67" s="1" t="n">
        <v>5558.597085025</v>
      </c>
      <c r="I67" s="1" t="n">
        <v>-122.967833992</v>
      </c>
      <c r="J67" s="1" t="n">
        <v>66.6560888793333</v>
      </c>
      <c r="K67" s="1" t="n">
        <v>26896.7376683126</v>
      </c>
      <c r="L67" s="1" t="n">
        <v>90.973805914</v>
      </c>
      <c r="M67" s="1" t="n">
        <v>100.70697</v>
      </c>
      <c r="N67" s="1" t="n">
        <v>99.9693834410832</v>
      </c>
      <c r="O67" s="1" t="n">
        <v>54.7192989672556</v>
      </c>
      <c r="P67" s="1" t="n">
        <v>56.72545306677</v>
      </c>
      <c r="Q67" s="1" t="n">
        <v>105.852631266459</v>
      </c>
      <c r="R67" s="1" t="n">
        <v>53.5558905193982</v>
      </c>
      <c r="S67" s="1" t="n">
        <v>52.2022493128488</v>
      </c>
      <c r="T67" s="1" t="n">
        <v>98.0802432516355</v>
      </c>
      <c r="U67" s="1" t="n">
        <v>3009.544727591</v>
      </c>
      <c r="V67" s="1" t="n">
        <v>53.2352622409881</v>
      </c>
      <c r="W67" s="1" t="n">
        <v>99.28878</v>
      </c>
      <c r="X67" s="1" t="n">
        <v>5534.899517844</v>
      </c>
      <c r="Y67" s="1" t="n">
        <v>5610.993789507</v>
      </c>
      <c r="Z67" s="1" t="n">
        <v>806.884881056</v>
      </c>
      <c r="AA67" s="1" t="n">
        <v>934.017732228</v>
      </c>
      <c r="AB67" s="1" t="n">
        <v>6331.557310379</v>
      </c>
      <c r="AC67" s="1" t="n">
        <v>6572.601585399</v>
      </c>
      <c r="AD67" s="1" t="n">
        <v>62.021037009</v>
      </c>
      <c r="AE67" s="1" t="n">
        <v>787.235686155</v>
      </c>
      <c r="AF67" s="1" t="n">
        <v>875.616913989</v>
      </c>
      <c r="AG67" s="1" t="n">
        <v>267.45705212</v>
      </c>
      <c r="AH67" s="1" t="n">
        <v>25.345</v>
      </c>
      <c r="AI67" s="1" t="n">
        <v>264.830899</v>
      </c>
      <c r="AJ67" s="1" t="n">
        <v>10058.432450168</v>
      </c>
      <c r="AK67" s="1" t="n">
        <v>3104.071478468</v>
      </c>
      <c r="AL67" s="1" t="n">
        <v>7029.418137679</v>
      </c>
      <c r="AM67" s="1" t="n">
        <v>3671.708226672</v>
      </c>
      <c r="AO67" s="3" t="n">
        <f aca="false">D67/K67</f>
        <v>0.415383268735093</v>
      </c>
      <c r="AP67" s="3" t="n">
        <f aca="false">(1+D67/K67)</f>
        <v>1.41538326873509</v>
      </c>
      <c r="AQ67" s="3" t="n">
        <f aca="false">LN(AO67)</f>
        <v>-0.878553645830598</v>
      </c>
      <c r="AR67" s="3" t="n">
        <f aca="false">LN(AP67)</f>
        <v>0.347400355715788</v>
      </c>
    </row>
    <row r="68" customFormat="false" ht="15" hidden="false" customHeight="false" outlineLevel="0" collapsed="false">
      <c r="A68" s="5" t="n">
        <v>43344</v>
      </c>
      <c r="B68" s="1" t="n">
        <v>105.153510085667</v>
      </c>
      <c r="C68" s="1" t="n">
        <v>251.764029154333</v>
      </c>
      <c r="D68" s="1" t="n">
        <v>11274.381474185</v>
      </c>
      <c r="E68" s="1" t="n">
        <v>10167.792300614</v>
      </c>
      <c r="F68" s="1" t="n">
        <v>-867.041746637</v>
      </c>
      <c r="G68" s="1" t="n">
        <v>5580.779358492</v>
      </c>
      <c r="H68" s="1" t="n">
        <v>5647.864562404</v>
      </c>
      <c r="I68" s="1" t="n">
        <v>-102.081766269</v>
      </c>
      <c r="J68" s="1" t="n">
        <v>68.7768229893333</v>
      </c>
      <c r="K68" s="1" t="n">
        <v>27171.1566371357</v>
      </c>
      <c r="L68" s="1" t="n">
        <v>91.2061056676667</v>
      </c>
      <c r="M68" s="1" t="n">
        <v>101.1418</v>
      </c>
      <c r="N68" s="1" t="n">
        <v>100.941679698063</v>
      </c>
      <c r="O68" s="1" t="n">
        <v>55.2514956032563</v>
      </c>
      <c r="P68" s="1" t="n">
        <v>56.8703003513772</v>
      </c>
      <c r="Q68" s="1" t="n">
        <v>106.281607791402</v>
      </c>
      <c r="R68" s="1" t="n">
        <v>54.0767719142695</v>
      </c>
      <c r="S68" s="1" t="n">
        <v>52.335546689151</v>
      </c>
      <c r="T68" s="1" t="n">
        <v>98.4777215326409</v>
      </c>
      <c r="U68" s="1" t="n">
        <v>3371.980907044</v>
      </c>
      <c r="V68" s="1" t="n">
        <v>53.2373627094362</v>
      </c>
      <c r="W68" s="1" t="n">
        <v>99.62198</v>
      </c>
      <c r="X68" s="1" t="n">
        <v>5711.443784873</v>
      </c>
      <c r="Y68" s="1" t="n">
        <v>5721.555496191</v>
      </c>
      <c r="Z68" s="1" t="n">
        <v>814.089814481</v>
      </c>
      <c r="AA68" s="1" t="n">
        <v>977.15153838</v>
      </c>
      <c r="AB68" s="1" t="n">
        <v>6542.363029074</v>
      </c>
      <c r="AC68" s="1" t="n">
        <v>6689.957483874</v>
      </c>
      <c r="AD68" s="1" t="n">
        <v>60.838314253</v>
      </c>
      <c r="AE68" s="1" t="n">
        <v>762.754351518</v>
      </c>
      <c r="AF68" s="1" t="n">
        <v>866.614719664</v>
      </c>
      <c r="AG68" s="1" t="n">
        <v>191.08611934</v>
      </c>
      <c r="AH68" s="1" t="n">
        <v>22.624</v>
      </c>
      <c r="AI68" s="1" t="n">
        <v>2.8</v>
      </c>
      <c r="AJ68" s="1" t="n">
        <v>10199.289708151</v>
      </c>
      <c r="AK68" s="1" t="n">
        <v>3295.231432576</v>
      </c>
      <c r="AL68" s="1" t="n">
        <v>6830.642412541</v>
      </c>
      <c r="AM68" s="1" t="n">
        <v>3672.188469164</v>
      </c>
      <c r="AO68" s="3" t="n">
        <f aca="false">D68/K68</f>
        <v>0.414939327933355</v>
      </c>
      <c r="AP68" s="3" t="n">
        <f aca="false">(1+D68/K68)</f>
        <v>1.41493932793335</v>
      </c>
      <c r="AQ68" s="3" t="n">
        <f aca="false">LN(AO68)</f>
        <v>-0.879622967190324</v>
      </c>
      <c r="AR68" s="3" t="n">
        <f aca="false">LN(AP68)</f>
        <v>0.347086652390308</v>
      </c>
    </row>
    <row r="69" customFormat="false" ht="15" hidden="false" customHeight="false" outlineLevel="0" collapsed="false">
      <c r="A69" s="5" t="n">
        <v>43435</v>
      </c>
      <c r="B69" s="1" t="n">
        <v>105.477787418333</v>
      </c>
      <c r="C69" s="1" t="n">
        <v>252.634113358667</v>
      </c>
      <c r="D69" s="1" t="n">
        <v>10920.380659513</v>
      </c>
      <c r="E69" s="1" t="n">
        <v>10960.59038249</v>
      </c>
      <c r="F69" s="1" t="n">
        <v>-625.735630705</v>
      </c>
      <c r="G69" s="1" t="n">
        <v>5334.561653128</v>
      </c>
      <c r="H69" s="1" t="n">
        <v>5674.68561796</v>
      </c>
      <c r="I69" s="1" t="n">
        <v>-360.900280748</v>
      </c>
      <c r="J69" s="1" t="n">
        <v>60.1107648476667</v>
      </c>
      <c r="K69" s="1" t="n">
        <v>26567.7266418003</v>
      </c>
      <c r="L69" s="1" t="n">
        <v>91.48737134</v>
      </c>
      <c r="M69" s="1" t="n">
        <v>101.57761</v>
      </c>
      <c r="N69" s="1" t="n">
        <v>99.2611534811208</v>
      </c>
      <c r="O69" s="1" t="n">
        <v>54.3316418108064</v>
      </c>
      <c r="P69" s="1" t="n">
        <v>57.0456796543683</v>
      </c>
      <c r="Q69" s="1" t="n">
        <v>106.648911843776</v>
      </c>
      <c r="R69" s="1" t="n">
        <v>53.1764754935902</v>
      </c>
      <c r="S69" s="1" t="n">
        <v>52.4969415058355</v>
      </c>
      <c r="T69" s="1" t="n">
        <v>98.8180557347591</v>
      </c>
      <c r="U69" s="1" t="n">
        <v>3382.476165597</v>
      </c>
      <c r="V69" s="1" t="n">
        <v>53.1764754935902</v>
      </c>
      <c r="W69" s="1" t="n">
        <v>100</v>
      </c>
      <c r="X69" s="1" t="n">
        <v>5483.661908538</v>
      </c>
      <c r="Y69" s="1" t="n">
        <v>5726.932912365</v>
      </c>
      <c r="Z69" s="1" t="n">
        <v>820.428601707</v>
      </c>
      <c r="AA69" s="1" t="n">
        <v>1068.045412085</v>
      </c>
      <c r="AB69" s="1" t="n">
        <v>6312.240980975</v>
      </c>
      <c r="AC69" s="1" t="n">
        <v>6744.361811766</v>
      </c>
      <c r="AD69" s="1" t="n">
        <v>55.133508729</v>
      </c>
      <c r="AE69" s="1" t="n">
        <v>825.421588511</v>
      </c>
      <c r="AF69" s="1" t="n">
        <v>874.325946868</v>
      </c>
      <c r="AG69" s="1" t="n">
        <v>285.2157313</v>
      </c>
      <c r="AH69" s="1" t="n">
        <v>28.1920038379737</v>
      </c>
      <c r="AI69" s="1" t="n">
        <v>2.8</v>
      </c>
      <c r="AJ69" s="1" t="n">
        <v>11166.854591168</v>
      </c>
      <c r="AK69" s="1" t="n">
        <v>3399.688635254</v>
      </c>
      <c r="AL69" s="1" t="n">
        <v>7732.804135046</v>
      </c>
      <c r="AM69" s="1" t="n">
        <v>4564.840892053</v>
      </c>
      <c r="AO69" s="3" t="n">
        <f aca="false">D69/K69</f>
        <v>0.411039333803271</v>
      </c>
      <c r="AP69" s="3" t="n">
        <f aca="false">(1+D69/K69)</f>
        <v>1.41103933380327</v>
      </c>
      <c r="AQ69" s="3" t="n">
        <f aca="false">LN(AO69)</f>
        <v>-0.889066366380755</v>
      </c>
      <c r="AR69" s="3" t="n">
        <f aca="false">LN(AP69)</f>
        <v>0.344326549025911</v>
      </c>
    </row>
    <row r="70" customFormat="false" ht="15" hidden="false" customHeight="false" outlineLevel="0" collapsed="false">
      <c r="A70" s="5" t="n">
        <v>43525</v>
      </c>
      <c r="B70" s="1" t="n">
        <v>105.513195883333</v>
      </c>
      <c r="C70" s="1" t="n">
        <v>253.361140657333</v>
      </c>
      <c r="D70" s="1" t="n">
        <v>10941.317250069</v>
      </c>
      <c r="E70" s="1" t="n">
        <v>9969.672426798</v>
      </c>
      <c r="F70" s="1" t="n">
        <v>-1148.853835804</v>
      </c>
      <c r="G70" s="1" t="n">
        <v>5342.737003244</v>
      </c>
      <c r="H70" s="1" t="n">
        <v>5522.596525223</v>
      </c>
      <c r="I70" s="1" t="n">
        <v>-150.885765148</v>
      </c>
      <c r="J70" s="1" t="n">
        <v>55.3748823303333</v>
      </c>
      <c r="K70" s="1" t="n">
        <v>26628.1634962102</v>
      </c>
      <c r="L70" s="1" t="n">
        <v>91.518083279</v>
      </c>
      <c r="M70" s="1" t="n">
        <v>101.92863</v>
      </c>
      <c r="N70" s="1" t="n">
        <v>99.5408941454225</v>
      </c>
      <c r="O70" s="1" t="n">
        <v>54.4847608210106</v>
      </c>
      <c r="P70" s="1" t="n">
        <v>57.0648296574247</v>
      </c>
      <c r="Q70" s="1" t="n">
        <v>106.955824751351</v>
      </c>
      <c r="R70" s="1" t="n">
        <v>53.3263389805447</v>
      </c>
      <c r="S70" s="1" t="n">
        <v>52.5145645159632</v>
      </c>
      <c r="T70" s="1" t="n">
        <v>99.1024331023489</v>
      </c>
      <c r="U70" s="1" t="n">
        <v>3089.22396132</v>
      </c>
      <c r="V70" s="1" t="n">
        <v>53.5129320679525</v>
      </c>
      <c r="W70" s="1" t="n">
        <v>100.22896</v>
      </c>
      <c r="X70" s="1" t="n">
        <v>5472.497185262</v>
      </c>
      <c r="Y70" s="1" t="n">
        <v>5576.539018096</v>
      </c>
      <c r="Z70" s="1" t="n">
        <v>799.700065105</v>
      </c>
      <c r="AA70" s="1" t="n">
        <v>1021.314838027</v>
      </c>
      <c r="AB70" s="1" t="n">
        <v>6255.864374082</v>
      </c>
      <c r="AC70" s="1" t="n">
        <v>6623.021741623</v>
      </c>
      <c r="AD70" s="1" t="n">
        <v>52.321542403</v>
      </c>
      <c r="AE70" s="1" t="n">
        <v>799.558009584</v>
      </c>
      <c r="AF70" s="1" t="n">
        <v>900.235062662</v>
      </c>
      <c r="AG70" s="1" t="n">
        <v>200.55210193</v>
      </c>
      <c r="AH70" s="1" t="n">
        <v>19.7</v>
      </c>
      <c r="AI70" s="1" t="n">
        <v>2.8</v>
      </c>
      <c r="AJ70" s="1" t="n">
        <v>9630.180517539</v>
      </c>
      <c r="AK70" s="1" t="n">
        <v>3057.385431397</v>
      </c>
      <c r="AL70" s="1" t="n">
        <v>6581.818639403</v>
      </c>
      <c r="AM70" s="1" t="n">
        <v>3491.222570112</v>
      </c>
      <c r="AO70" s="3" t="n">
        <f aca="false">D70/K70</f>
        <v>0.410892672024723</v>
      </c>
      <c r="AP70" s="3" t="n">
        <f aca="false">(1+D70/K70)</f>
        <v>1.41089267202472</v>
      </c>
      <c r="AQ70" s="3" t="n">
        <f aca="false">LN(AO70)</f>
        <v>-0.889423237214509</v>
      </c>
      <c r="AR70" s="3" t="n">
        <f aca="false">LN(AP70)</f>
        <v>0.344222604793111</v>
      </c>
    </row>
    <row r="71" customFormat="false" ht="15" hidden="false" customHeight="false" outlineLevel="0" collapsed="false">
      <c r="A71" s="5" t="n">
        <v>43617</v>
      </c>
      <c r="B71" s="1" t="n">
        <v>105.311319207667</v>
      </c>
      <c r="C71" s="1" t="n">
        <v>255.331891204667</v>
      </c>
      <c r="D71" s="1" t="n">
        <v>11311.67991772</v>
      </c>
      <c r="E71" s="1" t="n">
        <v>10005.114220687</v>
      </c>
      <c r="F71" s="1" t="n">
        <v>-781.219957314</v>
      </c>
      <c r="G71" s="1" t="n">
        <v>5623.16819774</v>
      </c>
      <c r="H71" s="1" t="n">
        <v>5631.244541333</v>
      </c>
      <c r="I71" s="1" t="n">
        <v>24.575602035</v>
      </c>
      <c r="J71" s="1" t="n">
        <v>58.7650871146667</v>
      </c>
      <c r="K71" s="1" t="n">
        <v>27249.8272144469</v>
      </c>
      <c r="L71" s="1" t="n">
        <v>91.3429832236667</v>
      </c>
      <c r="M71" s="1" t="n">
        <v>102.43446</v>
      </c>
      <c r="N71" s="1" t="n">
        <v>100.812531398967</v>
      </c>
      <c r="O71" s="1" t="n">
        <v>55.180804916307</v>
      </c>
      <c r="P71" s="1" t="n">
        <v>56.9556484501617</v>
      </c>
      <c r="Q71" s="1" t="n">
        <v>107.787772577377</v>
      </c>
      <c r="R71" s="1" t="n">
        <v>54.0075842097037</v>
      </c>
      <c r="S71" s="1" t="n">
        <v>52.4140892567331</v>
      </c>
      <c r="T71" s="1" t="n">
        <v>99.8732939130155</v>
      </c>
      <c r="U71" s="1" t="n">
        <v>3098.105612111</v>
      </c>
      <c r="V71" s="1" t="n">
        <v>53.0652969579607</v>
      </c>
      <c r="W71" s="1" t="n">
        <v>100.75896</v>
      </c>
      <c r="X71" s="1" t="n">
        <v>5740.198511124</v>
      </c>
      <c r="Y71" s="1" t="n">
        <v>5680.811088762</v>
      </c>
      <c r="Z71" s="1" t="n">
        <v>831.00805976</v>
      </c>
      <c r="AA71" s="1" t="n">
        <v>1054.850821558</v>
      </c>
      <c r="AB71" s="1" t="n">
        <v>6557.7947206</v>
      </c>
      <c r="AC71" s="1" t="n">
        <v>6778.930111078</v>
      </c>
      <c r="AD71" s="1" t="n">
        <v>50.817201624</v>
      </c>
      <c r="AE71" s="1" t="n">
        <v>757.883158123</v>
      </c>
      <c r="AF71" s="1" t="n">
        <v>914.569805009</v>
      </c>
      <c r="AG71" s="1" t="n">
        <v>249.80362333</v>
      </c>
      <c r="AH71" s="1" t="n">
        <v>24.423</v>
      </c>
      <c r="AI71" s="1" t="n">
        <v>2.8</v>
      </c>
      <c r="AJ71" s="1" t="n">
        <v>10136.882173824</v>
      </c>
      <c r="AK71" s="1" t="n">
        <v>3201.319673727</v>
      </c>
      <c r="AL71" s="1" t="n">
        <v>7036.502283498</v>
      </c>
      <c r="AM71" s="1" t="n">
        <v>3886.451862206</v>
      </c>
      <c r="AO71" s="3" t="n">
        <f aca="false">D71/K71</f>
        <v>0.415110152027788</v>
      </c>
      <c r="AP71" s="3" t="n">
        <f aca="false">(1+D71/K71)</f>
        <v>1.41511015202779</v>
      </c>
      <c r="AQ71" s="3" t="n">
        <f aca="false">LN(AO71)</f>
        <v>-0.879211367397857</v>
      </c>
      <c r="AR71" s="3" t="n">
        <f aca="false">LN(AP71)</f>
        <v>0.347207374021395</v>
      </c>
    </row>
    <row r="72" customFormat="false" ht="15" hidden="false" customHeight="false" outlineLevel="0" collapsed="false">
      <c r="A72" s="5" t="n">
        <v>43709</v>
      </c>
      <c r="B72" s="1" t="n">
        <v>105.475825741333</v>
      </c>
      <c r="C72" s="1" t="n">
        <v>256.153583151</v>
      </c>
      <c r="D72" s="1" t="n">
        <v>10914.266662951</v>
      </c>
      <c r="E72" s="1" t="n">
        <v>9552.206457315</v>
      </c>
      <c r="F72" s="1" t="n">
        <v>-835.119819525</v>
      </c>
      <c r="G72" s="1" t="n">
        <v>5705.648180066</v>
      </c>
      <c r="H72" s="1" t="n">
        <v>5286.706475301</v>
      </c>
      <c r="I72" s="1" t="n">
        <v>387.906030583</v>
      </c>
      <c r="J72" s="1" t="n">
        <v>55.636823505</v>
      </c>
      <c r="K72" s="1" t="n">
        <v>26922.8610419485</v>
      </c>
      <c r="L72" s="1" t="n">
        <v>91.4856698573333</v>
      </c>
      <c r="M72" s="1" t="n">
        <v>102.75294</v>
      </c>
      <c r="N72" s="1" t="n">
        <v>99.8651872056501</v>
      </c>
      <c r="O72" s="1" t="n">
        <v>54.6622660561615</v>
      </c>
      <c r="P72" s="1" t="n">
        <v>57.044618718218</v>
      </c>
      <c r="Q72" s="1" t="n">
        <v>108.134647948965</v>
      </c>
      <c r="R72" s="1" t="n">
        <v>53.5000702073656</v>
      </c>
      <c r="S72" s="1" t="n">
        <v>52.4959651671651</v>
      </c>
      <c r="T72" s="1" t="n">
        <v>100.194699440836</v>
      </c>
      <c r="U72" s="1" t="n">
        <v>3210.802236693</v>
      </c>
      <c r="V72" s="1" t="n">
        <v>52.7459779934068</v>
      </c>
      <c r="W72" s="1" t="n">
        <v>101.00351</v>
      </c>
      <c r="X72" s="1" t="n">
        <v>5799.535630653</v>
      </c>
      <c r="Y72" s="1" t="n">
        <v>5379.353004623</v>
      </c>
      <c r="Z72" s="1" t="n">
        <v>819.117490816</v>
      </c>
      <c r="AA72" s="1" t="n">
        <v>1042.005974847</v>
      </c>
      <c r="AB72" s="1" t="n">
        <v>6645.84633295</v>
      </c>
      <c r="AC72" s="1" t="n">
        <v>6413.404730049</v>
      </c>
      <c r="AD72" s="1" t="n">
        <v>48.188228055</v>
      </c>
      <c r="AE72" s="1" t="n">
        <v>810.610046032</v>
      </c>
      <c r="AF72" s="1" t="n">
        <v>935.081904414</v>
      </c>
      <c r="AG72" s="1" t="n">
        <v>262.1950697</v>
      </c>
      <c r="AH72" s="1" t="n">
        <v>22.85</v>
      </c>
      <c r="AI72" s="1" t="n">
        <v>2.8</v>
      </c>
      <c r="AJ72" s="1" t="n">
        <v>9870.70213551</v>
      </c>
      <c r="AK72" s="1" t="n">
        <v>3241.769129177</v>
      </c>
      <c r="AL72" s="1" t="n">
        <v>6671.344867424</v>
      </c>
      <c r="AM72" s="1" t="n">
        <v>3571.738798123</v>
      </c>
      <c r="AO72" s="3" t="n">
        <f aca="false">D72/K72</f>
        <v>0.405390298079594</v>
      </c>
      <c r="AP72" s="3" t="n">
        <f aca="false">(1+D72/K72)</f>
        <v>1.40539029807959</v>
      </c>
      <c r="AQ72" s="3" t="n">
        <f aca="false">LN(AO72)</f>
        <v>-0.902904976973363</v>
      </c>
      <c r="AR72" s="3" t="n">
        <f aca="false">LN(AP72)</f>
        <v>0.340315056436062</v>
      </c>
    </row>
    <row r="73" customFormat="false" ht="15" hidden="false" customHeight="false" outlineLevel="0" collapsed="false">
      <c r="A73" s="5" t="n">
        <v>43800</v>
      </c>
      <c r="B73" s="1" t="n">
        <v>105.620584758</v>
      </c>
      <c r="C73" s="1" t="n">
        <v>257.776675762</v>
      </c>
      <c r="D73" s="1" t="n">
        <v>10186.291888909</v>
      </c>
      <c r="E73" s="1" t="n">
        <v>10065.055300412</v>
      </c>
      <c r="F73" s="1" t="n">
        <v>-708.5158721</v>
      </c>
      <c r="G73" s="1" t="n">
        <v>5653.639466557</v>
      </c>
      <c r="H73" s="1" t="n">
        <v>5058.669469858</v>
      </c>
      <c r="I73" s="1" t="n">
        <v>580.070401209</v>
      </c>
      <c r="J73" s="1" t="n">
        <v>58.5903140756667</v>
      </c>
      <c r="K73" s="1" t="n">
        <v>26794.978247397</v>
      </c>
      <c r="L73" s="1" t="n">
        <v>91.611228254</v>
      </c>
      <c r="M73" s="1" t="n">
        <v>103.07832</v>
      </c>
      <c r="N73" s="1" t="n">
        <v>99.5534248589452</v>
      </c>
      <c r="O73" s="1" t="n">
        <v>54.49161963954</v>
      </c>
      <c r="P73" s="1" t="n">
        <v>57.1229089127127</v>
      </c>
      <c r="Q73" s="1" t="n">
        <v>108.819832774101</v>
      </c>
      <c r="R73" s="1" t="n">
        <v>53.3330519710469</v>
      </c>
      <c r="S73" s="1" t="n">
        <v>52.5680126173098</v>
      </c>
      <c r="T73" s="1" t="n">
        <v>100.829573543799</v>
      </c>
      <c r="U73" s="1" t="n">
        <v>2832.869287308</v>
      </c>
      <c r="V73" s="1" t="n">
        <v>52.6805273857576</v>
      </c>
      <c r="W73" s="1" t="n">
        <v>101.39614</v>
      </c>
      <c r="X73" s="1" t="n">
        <v>5767.827836942</v>
      </c>
      <c r="Y73" s="1" t="n">
        <v>5147.776526918</v>
      </c>
      <c r="Z73" s="1" t="n">
        <v>797.032484482</v>
      </c>
      <c r="AA73" s="1" t="n">
        <v>1020.884030003</v>
      </c>
      <c r="AB73" s="1" t="n">
        <v>6568.391989363</v>
      </c>
      <c r="AC73" s="1" t="n">
        <v>6118.430099858</v>
      </c>
      <c r="AD73" s="1" t="n">
        <v>43.894449293</v>
      </c>
      <c r="AE73" s="1" t="n">
        <v>854.452543027</v>
      </c>
      <c r="AF73" s="1" t="n">
        <v>926.555699962</v>
      </c>
      <c r="AG73" s="1" t="n">
        <v>229.6391678732</v>
      </c>
      <c r="AH73" s="1" t="n">
        <v>27.8221238763534</v>
      </c>
      <c r="AI73" s="1" t="n">
        <v>2.8</v>
      </c>
      <c r="AJ73" s="1" t="n">
        <v>9404.066677304</v>
      </c>
      <c r="AK73" s="1" t="n">
        <v>2844.802648177</v>
      </c>
      <c r="AL73" s="1" t="n">
        <v>6515.660598646</v>
      </c>
      <c r="AM73" s="1" t="n">
        <v>3530.184110968</v>
      </c>
      <c r="AO73" s="3" t="n">
        <f aca="false">D73/K73</f>
        <v>0.380156751569617</v>
      </c>
      <c r="AP73" s="3" t="n">
        <f aca="false">(1+D73/K73)</f>
        <v>1.38015675156962</v>
      </c>
      <c r="AQ73" s="3" t="n">
        <f aca="false">LN(AO73)</f>
        <v>-0.967171607187573</v>
      </c>
      <c r="AR73" s="3" t="n">
        <f aca="false">LN(AP73)</f>
        <v>0.3221970808124</v>
      </c>
    </row>
    <row r="74" customFormat="false" ht="15" hidden="false" customHeight="false" outlineLevel="0" collapsed="false">
      <c r="A74" s="5" t="n">
        <v>43891</v>
      </c>
      <c r="B74" s="1" t="n">
        <v>105.418347127667</v>
      </c>
      <c r="C74" s="1" t="n">
        <v>258.768573121</v>
      </c>
      <c r="D74" s="1" t="n">
        <v>10777.003962988</v>
      </c>
      <c r="E74" s="1" t="n">
        <v>10447.035809066</v>
      </c>
      <c r="F74" s="1" t="n">
        <v>-266.492256272</v>
      </c>
      <c r="G74" s="1" t="n">
        <v>5574.964303529</v>
      </c>
      <c r="H74" s="1" t="n">
        <v>4847.93197036</v>
      </c>
      <c r="I74" s="1" t="n">
        <v>619.11140986</v>
      </c>
      <c r="J74" s="1" t="n">
        <v>46.1676113583333</v>
      </c>
      <c r="K74" s="1" t="n">
        <v>26509.5674172151</v>
      </c>
      <c r="L74" s="1" t="n">
        <v>91.4358151206667</v>
      </c>
      <c r="M74" s="1" t="n">
        <v>103.56738</v>
      </c>
      <c r="N74" s="1" t="n">
        <v>98.8381978134497</v>
      </c>
      <c r="O74" s="1" t="n">
        <v>54.1001325543466</v>
      </c>
      <c r="P74" s="1" t="n">
        <v>57.0135324898996</v>
      </c>
      <c r="Q74" s="1" t="n">
        <v>109.238559970486</v>
      </c>
      <c r="R74" s="1" t="n">
        <v>52.9498884461098</v>
      </c>
      <c r="S74" s="1" t="n">
        <v>52.4673577087291</v>
      </c>
      <c r="T74" s="1" t="n">
        <v>101.21755506855</v>
      </c>
      <c r="U74" s="1" t="n">
        <v>3020.981869065</v>
      </c>
      <c r="V74" s="1" t="n">
        <v>52.8309223852908</v>
      </c>
      <c r="W74" s="1" t="n">
        <v>101.72058</v>
      </c>
      <c r="X74" s="1" t="n">
        <v>5652.016272456</v>
      </c>
      <c r="Y74" s="1" t="n">
        <v>4932.686688993</v>
      </c>
      <c r="Z74" s="1" t="n">
        <v>804.377184515</v>
      </c>
      <c r="AA74" s="1" t="n">
        <v>1046.980098409</v>
      </c>
      <c r="AB74" s="1" t="n">
        <v>6436.218778136</v>
      </c>
      <c r="AC74" s="1" t="n">
        <v>5998.605338816</v>
      </c>
      <c r="AD74" s="1" t="n">
        <v>27.637415897</v>
      </c>
      <c r="AE74" s="1" t="n">
        <v>872.83437447</v>
      </c>
      <c r="AF74" s="1" t="n">
        <v>878.152782471</v>
      </c>
      <c r="AG74" s="1" t="n">
        <v>182.97645591</v>
      </c>
      <c r="AH74" s="1" t="n">
        <v>20.21832</v>
      </c>
      <c r="AI74" s="1" t="n">
        <v>2.8</v>
      </c>
      <c r="AJ74" s="1" t="n">
        <v>9877.64125256</v>
      </c>
      <c r="AK74" s="1" t="n">
        <v>2723.841327012</v>
      </c>
      <c r="AL74" s="1" t="n">
        <v>6903.889460184</v>
      </c>
      <c r="AM74" s="1" t="n">
        <v>3464.714701081</v>
      </c>
      <c r="AO74" s="3" t="n">
        <f aca="false">D74/K74</f>
        <v>0.406532622482157</v>
      </c>
      <c r="AP74" s="3" t="n">
        <f aca="false">(1+D74/K74)</f>
        <v>1.40653262248216</v>
      </c>
      <c r="AQ74" s="3" t="n">
        <f aca="false">LN(AO74)</f>
        <v>-0.900091101105672</v>
      </c>
      <c r="AR74" s="3" t="n">
        <f aca="false">LN(AP74)</f>
        <v>0.341127542764937</v>
      </c>
    </row>
    <row r="75" customFormat="false" ht="15" hidden="false" customHeight="false" outlineLevel="0" collapsed="false">
      <c r="A75" s="5" t="n">
        <v>43983</v>
      </c>
      <c r="B75" s="1" t="n">
        <v>106.019622970667</v>
      </c>
      <c r="C75" s="1" t="n">
        <v>256.221717813</v>
      </c>
      <c r="D75" s="1" t="n">
        <v>9140.30119638</v>
      </c>
      <c r="E75" s="1" t="n">
        <v>6032.050784411</v>
      </c>
      <c r="F75" s="1" t="n">
        <v>-3026.322906185</v>
      </c>
      <c r="G75" s="1" t="n">
        <v>4087.86911864</v>
      </c>
      <c r="H75" s="1" t="n">
        <v>3522.929750017</v>
      </c>
      <c r="I75" s="1" t="n">
        <v>523.887238336</v>
      </c>
      <c r="J75" s="1" t="n">
        <v>26.5644672043333</v>
      </c>
      <c r="K75" s="1" t="n">
        <v>20761.560179985</v>
      </c>
      <c r="L75" s="1" t="n">
        <v>91.9573386333333</v>
      </c>
      <c r="M75" s="1" t="n">
        <v>103.1503</v>
      </c>
      <c r="N75" s="1" t="n">
        <v>95.6007641548293</v>
      </c>
      <c r="O75" s="1" t="n">
        <v>52.3280890130647</v>
      </c>
      <c r="P75" s="1" t="n">
        <v>57.3387212330769</v>
      </c>
      <c r="Q75" s="1" t="n">
        <v>108.163410840344</v>
      </c>
      <c r="R75" s="1" t="n">
        <v>51.215521016635</v>
      </c>
      <c r="S75" s="1" t="n">
        <v>52.7666163823458</v>
      </c>
      <c r="T75" s="1" t="n">
        <v>100.22135037383</v>
      </c>
      <c r="U75" s="1" t="n">
        <v>998.442922342</v>
      </c>
      <c r="V75" s="1" t="n">
        <v>53.1968975525917</v>
      </c>
      <c r="W75" s="1" t="n">
        <v>101.27533</v>
      </c>
      <c r="X75" s="1" t="n">
        <v>4108.739411043</v>
      </c>
      <c r="Y75" s="1" t="n">
        <v>3541.050679733</v>
      </c>
      <c r="Z75" s="1" t="n">
        <v>265.773545497</v>
      </c>
      <c r="AA75" s="1" t="n">
        <v>535.884024107</v>
      </c>
      <c r="AB75" s="1" t="n">
        <v>4366.578863617</v>
      </c>
      <c r="AC75" s="1" t="n">
        <v>4082.864817209</v>
      </c>
      <c r="AD75" s="1" t="n">
        <v>18.653125884</v>
      </c>
      <c r="AE75" s="1" t="n">
        <v>947.422731666</v>
      </c>
      <c r="AF75" s="1" t="n">
        <v>813.762724134</v>
      </c>
      <c r="AG75" s="1" t="n">
        <v>132.2437134</v>
      </c>
      <c r="AH75" s="1" t="n">
        <v>36.42213608</v>
      </c>
      <c r="AI75" s="1" t="n">
        <v>2.8</v>
      </c>
      <c r="AJ75" s="1" t="n">
        <v>5946.940128844</v>
      </c>
      <c r="AK75" s="1" t="n">
        <v>1023.111200171</v>
      </c>
      <c r="AL75" s="1" t="n">
        <v>4946.896267964</v>
      </c>
      <c r="AM75" s="1" t="n">
        <v>2613.731437601</v>
      </c>
      <c r="AO75" s="3" t="n">
        <f aca="false">D75/K75</f>
        <v>0.44025117173957</v>
      </c>
      <c r="AP75" s="3" t="n">
        <f aca="false">(1+D75/K75)</f>
        <v>1.44025117173957</v>
      </c>
      <c r="AQ75" s="3" t="n">
        <f aca="false">LN(AO75)</f>
        <v>-0.82040987007712</v>
      </c>
      <c r="AR75" s="3" t="n">
        <f aca="false">LN(AP75)</f>
        <v>0.364817523196815</v>
      </c>
    </row>
    <row r="76" customFormat="false" ht="15" hidden="false" customHeight="false" outlineLevel="0" collapsed="false">
      <c r="A76" s="5" t="n">
        <v>44075</v>
      </c>
      <c r="B76" s="1" t="n">
        <v>104.660501536</v>
      </c>
      <c r="C76" s="1" t="n">
        <v>259.226591760333</v>
      </c>
      <c r="D76" s="1" t="n">
        <v>9297.754461915</v>
      </c>
      <c r="E76" s="1" t="n">
        <v>7532.259122015</v>
      </c>
      <c r="F76" s="1" t="n">
        <v>-1406.857096773</v>
      </c>
      <c r="G76" s="1" t="n">
        <v>5186.645103936</v>
      </c>
      <c r="H76" s="1" t="n">
        <v>3942.447945937</v>
      </c>
      <c r="I76" s="1" t="n">
        <v>1279.831543372</v>
      </c>
      <c r="J76" s="1" t="n">
        <v>40.39370778</v>
      </c>
      <c r="K76" s="1" t="n">
        <v>23590.263347239</v>
      </c>
      <c r="L76" s="1" t="n">
        <v>90.778489036</v>
      </c>
      <c r="M76" s="1" t="n">
        <v>104.06137</v>
      </c>
      <c r="N76" s="1" t="n">
        <v>98.2194971981045</v>
      </c>
      <c r="O76" s="1" t="n">
        <v>53.7614802312356</v>
      </c>
      <c r="P76" s="1" t="n">
        <v>56.6036659397203</v>
      </c>
      <c r="Q76" s="1" t="n">
        <v>109.431911489169</v>
      </c>
      <c r="R76" s="1" t="n">
        <v>52.6184363426842</v>
      </c>
      <c r="S76" s="1" t="n">
        <v>52.090173311237</v>
      </c>
      <c r="T76" s="1" t="n">
        <v>101.396709462339</v>
      </c>
      <c r="U76" s="1" t="n">
        <v>1735.49014474</v>
      </c>
      <c r="V76" s="1" t="n">
        <v>52.2507266810832</v>
      </c>
      <c r="W76" s="1" t="n">
        <v>102.10542</v>
      </c>
      <c r="X76" s="1" t="n">
        <v>5185.199044282</v>
      </c>
      <c r="Y76" s="1" t="n">
        <v>4008.054515721</v>
      </c>
      <c r="Z76" s="1" t="n">
        <v>307.993449426</v>
      </c>
      <c r="AA76" s="1" t="n">
        <v>472.285393118</v>
      </c>
      <c r="AB76" s="1" t="n">
        <v>5524.503592157</v>
      </c>
      <c r="AC76" s="1" t="n">
        <v>4501.101967915</v>
      </c>
      <c r="AD76" s="1" t="n">
        <v>17.287310297</v>
      </c>
      <c r="AE76" s="1" t="n">
        <v>1079.814442096</v>
      </c>
      <c r="AF76" s="1" t="n">
        <v>1068.466139804</v>
      </c>
      <c r="AG76" s="1" t="n">
        <v>239.46324544</v>
      </c>
      <c r="AH76" s="1" t="n">
        <v>222.17672757</v>
      </c>
      <c r="AI76" s="1" t="n">
        <v>2.8</v>
      </c>
      <c r="AJ76" s="1" t="n">
        <v>7654.582678072</v>
      </c>
      <c r="AK76" s="1" t="n">
        <v>1494.405583295</v>
      </c>
      <c r="AL76" s="1" t="n">
        <v>6015.073875976</v>
      </c>
      <c r="AM76" s="1" t="n">
        <v>3158.330357409</v>
      </c>
      <c r="AO76" s="3" t="n">
        <f aca="false">D76/K76</f>
        <v>0.394135255086214</v>
      </c>
      <c r="AP76" s="3" t="n">
        <f aca="false">(1+D76/K76)</f>
        <v>1.39413525508621</v>
      </c>
      <c r="AQ76" s="3" t="n">
        <f aca="false">LN(AO76)</f>
        <v>-0.931061141572864</v>
      </c>
      <c r="AR76" s="3" t="n">
        <f aca="false">LN(AP76)</f>
        <v>0.332274334235726</v>
      </c>
    </row>
    <row r="77" customFormat="false" ht="15" hidden="false" customHeight="false" outlineLevel="0" collapsed="false">
      <c r="A77" s="5" t="n">
        <v>44166</v>
      </c>
      <c r="B77" s="1" t="n">
        <v>104.383478452667</v>
      </c>
      <c r="C77" s="1" t="n">
        <v>261.037142699</v>
      </c>
      <c r="D77" s="1" t="n">
        <v>9670.621928628</v>
      </c>
      <c r="E77" s="1" t="n">
        <v>9114.388786549</v>
      </c>
      <c r="F77" s="1" t="n">
        <v>-840.982433397</v>
      </c>
      <c r="G77" s="1" t="n">
        <v>5574.65469267</v>
      </c>
      <c r="H77" s="1" t="n">
        <v>4567.388813097</v>
      </c>
      <c r="I77" s="1" t="n">
        <v>1033.576181971</v>
      </c>
      <c r="J77" s="1" t="n">
        <v>44.1885841286667</v>
      </c>
      <c r="K77" s="1" t="n">
        <v>25004.0820555613</v>
      </c>
      <c r="L77" s="1" t="n">
        <v>90.5382098806667</v>
      </c>
      <c r="M77" s="1" t="n">
        <v>104.78806</v>
      </c>
      <c r="N77" s="1" t="n">
        <v>99.4329401971486</v>
      </c>
      <c r="O77" s="1" t="n">
        <v>54.4256710860641</v>
      </c>
      <c r="P77" s="1" t="n">
        <v>56.4538432096888</v>
      </c>
      <c r="Q77" s="1" t="n">
        <v>110.19623141762</v>
      </c>
      <c r="R77" s="1" t="n">
        <v>53.2685055755972</v>
      </c>
      <c r="S77" s="1" t="n">
        <v>51.952297224172</v>
      </c>
      <c r="T77" s="1" t="n">
        <v>102.104908055115</v>
      </c>
      <c r="U77" s="1" t="n">
        <v>2326.544092018</v>
      </c>
      <c r="V77" s="1" t="n">
        <v>52.3022323152899</v>
      </c>
      <c r="W77" s="1" t="n">
        <v>102.61009</v>
      </c>
      <c r="X77" s="1" t="n">
        <v>5681.521025451</v>
      </c>
      <c r="Y77" s="1" t="n">
        <v>4639.543761679</v>
      </c>
      <c r="Z77" s="1" t="n">
        <v>423.526538968</v>
      </c>
      <c r="AA77" s="1" t="n">
        <v>726.699511512</v>
      </c>
      <c r="AB77" s="1" t="n">
        <v>6109.845498367</v>
      </c>
      <c r="AC77" s="1" t="n">
        <v>5333.81627077</v>
      </c>
      <c r="AD77" s="1" t="n">
        <v>22.052684955</v>
      </c>
      <c r="AE77" s="1" t="n">
        <v>472.761967988</v>
      </c>
      <c r="AF77" s="1" t="n">
        <v>1066.869798934</v>
      </c>
      <c r="AG77" s="1" t="n">
        <v>292.91929934</v>
      </c>
      <c r="AH77" s="1" t="n">
        <v>38.4922751151169</v>
      </c>
      <c r="AI77" s="1" t="n">
        <v>2.8</v>
      </c>
      <c r="AJ77" s="1" t="n">
        <v>8181.333566182</v>
      </c>
      <c r="AK77" s="1" t="n">
        <v>2262.339036155</v>
      </c>
      <c r="AL77" s="1" t="n">
        <v>5800.691468558</v>
      </c>
      <c r="AM77" s="1" t="n">
        <v>3189.96791879</v>
      </c>
      <c r="AO77" s="3" t="n">
        <f aca="false">D77/K77</f>
        <v>0.386761725830967</v>
      </c>
      <c r="AP77" s="3" t="n">
        <f aca="false">(1+D77/K77)</f>
        <v>1.38676172583097</v>
      </c>
      <c r="AQ77" s="3" t="n">
        <f aca="false">LN(AO77)</f>
        <v>-0.949946471097899</v>
      </c>
      <c r="AR77" s="3" t="n">
        <f aca="false">LN(AP77)</f>
        <v>0.326971335537409</v>
      </c>
    </row>
    <row r="78" customFormat="false" ht="15" hidden="false" customHeight="false" outlineLevel="0" collapsed="false">
      <c r="A78" s="5" t="n">
        <v>44256</v>
      </c>
      <c r="B78" s="1" t="n">
        <v>104.519717349</v>
      </c>
      <c r="C78" s="1" t="n">
        <v>263.721222952</v>
      </c>
      <c r="D78" s="1" t="n">
        <v>9681.170264687</v>
      </c>
      <c r="E78" s="1" t="n">
        <v>6078.532227364</v>
      </c>
      <c r="F78" s="1" t="n">
        <v>-489.627311904</v>
      </c>
      <c r="G78" s="1" t="n">
        <v>5963.730473677</v>
      </c>
      <c r="H78" s="1" t="n">
        <v>5307.191979216</v>
      </c>
      <c r="I78" s="1" t="n">
        <v>684.437079363</v>
      </c>
      <c r="J78" s="1" t="n">
        <v>58.1238177976667</v>
      </c>
      <c r="K78" s="1" t="n">
        <v>25084.8517387645</v>
      </c>
      <c r="L78" s="1" t="n">
        <v>90.6563782523333</v>
      </c>
      <c r="M78" s="1" t="n">
        <v>106.16157</v>
      </c>
      <c r="N78" s="1" t="n">
        <v>98.6301449328933</v>
      </c>
      <c r="O78" s="1" t="n">
        <v>53.9862526105048</v>
      </c>
      <c r="P78" s="1" t="n">
        <v>56.5275254571735</v>
      </c>
      <c r="Q78" s="1" t="n">
        <v>111.329309743734</v>
      </c>
      <c r="R78" s="1" t="n">
        <v>52.8384297483587</v>
      </c>
      <c r="S78" s="1" t="n">
        <v>52.020104158188</v>
      </c>
      <c r="T78" s="1" t="n">
        <v>103.154788407816</v>
      </c>
      <c r="U78" s="1" t="n">
        <v>2705.434784671</v>
      </c>
      <c r="V78" s="1" t="n">
        <v>52.8436585555812</v>
      </c>
      <c r="W78" s="1" t="n">
        <v>103.80651</v>
      </c>
      <c r="X78" s="1" t="n">
        <v>6031.57567814</v>
      </c>
      <c r="Y78" s="1" t="n">
        <v>5242.021417278</v>
      </c>
      <c r="Z78" s="1" t="n">
        <v>440.288632804</v>
      </c>
      <c r="AA78" s="1" t="n">
        <v>870.825422225</v>
      </c>
      <c r="AB78" s="1" t="n">
        <v>6438.5306024</v>
      </c>
      <c r="AC78" s="1" t="n">
        <v>6121.380501089</v>
      </c>
      <c r="AD78" s="1" t="n">
        <v>20.899878029</v>
      </c>
      <c r="AE78" s="1" t="n">
        <v>417.687838792</v>
      </c>
      <c r="AF78" s="1" t="n">
        <v>1106.435118372</v>
      </c>
      <c r="AG78" s="1" t="n">
        <v>229.75924977</v>
      </c>
      <c r="AH78" s="1" t="n">
        <v>20.4138032</v>
      </c>
      <c r="AI78" s="1" t="n">
        <v>2.8</v>
      </c>
      <c r="AJ78" s="1" t="n">
        <v>8906.545473821</v>
      </c>
      <c r="AK78" s="1" t="n">
        <v>2938.672144425</v>
      </c>
      <c r="AL78" s="1" t="n">
        <v>6079.14804185</v>
      </c>
      <c r="AM78" s="1" t="n">
        <v>3274.484798383</v>
      </c>
      <c r="AO78" s="3" t="n">
        <f aca="false">D78/K78</f>
        <v>0.385936913859704</v>
      </c>
      <c r="AP78" s="3" t="n">
        <f aca="false">(1+D78/K78)</f>
        <v>1.3859369138597</v>
      </c>
      <c r="AQ78" s="3" t="n">
        <f aca="false">LN(AO78)</f>
        <v>-0.952081358470981</v>
      </c>
      <c r="AR78" s="3" t="n">
        <f aca="false">LN(AP78)</f>
        <v>0.326376383036055</v>
      </c>
    </row>
    <row r="79" customFormat="false" ht="15" hidden="false" customHeight="false" outlineLevel="0" collapsed="false">
      <c r="A79" s="5" t="n">
        <v>44348</v>
      </c>
      <c r="B79" s="1" t="n">
        <v>104.887210840667</v>
      </c>
      <c r="C79" s="1" t="n">
        <v>268.605537675333</v>
      </c>
      <c r="D79" s="1" t="n">
        <v>10191.718654915</v>
      </c>
      <c r="E79" s="1" t="n">
        <v>0</v>
      </c>
      <c r="F79" s="1" t="n">
        <v>0</v>
      </c>
      <c r="G79" s="1" t="n">
        <v>6538.528453472</v>
      </c>
      <c r="H79" s="1" t="n">
        <v>5556.388299462</v>
      </c>
      <c r="I79" s="1" t="n">
        <v>1003.130209656</v>
      </c>
      <c r="J79" s="1" t="n">
        <v>64.4992891943333</v>
      </c>
      <c r="K79" s="1" t="n">
        <v>26694.6975297507</v>
      </c>
      <c r="L79" s="1" t="n">
        <v>90.9751279556667</v>
      </c>
      <c r="M79" s="1" t="n">
        <v>107.77566</v>
      </c>
      <c r="N79" s="1" t="n">
        <v>100.120399684254</v>
      </c>
      <c r="O79" s="1" t="n">
        <v>54.8019593045961</v>
      </c>
      <c r="P79" s="1" t="n">
        <v>56.7262774078334</v>
      </c>
      <c r="Q79" s="1" t="n">
        <v>113.391212007925</v>
      </c>
      <c r="R79" s="1" t="n">
        <v>53.63679338293</v>
      </c>
      <c r="S79" s="1" t="n">
        <v>52.2030079221747</v>
      </c>
      <c r="T79" s="1" t="n">
        <v>105.065292409591</v>
      </c>
      <c r="U79" s="1" t="n">
        <v>3247.462100734</v>
      </c>
      <c r="V79" s="1" t="n">
        <v>53.3025331076244</v>
      </c>
      <c r="W79" s="1" t="n">
        <v>105.39166</v>
      </c>
      <c r="X79" s="1" t="n">
        <v>6588.030051771</v>
      </c>
      <c r="Y79" s="1" t="n">
        <v>5582.861473177</v>
      </c>
      <c r="Z79" s="1" t="n">
        <v>477.110130954</v>
      </c>
      <c r="AA79" s="1" t="n">
        <v>969.380102627</v>
      </c>
      <c r="AB79" s="1" t="n">
        <v>7062.685969735</v>
      </c>
      <c r="AC79" s="1" t="n">
        <v>6592.34267126</v>
      </c>
      <c r="AD79" s="1" t="n">
        <v>21.57179171</v>
      </c>
      <c r="AE79" s="1" t="n">
        <v>466.310245319</v>
      </c>
      <c r="AF79" s="1" t="n">
        <v>1199.33295341</v>
      </c>
      <c r="AG79" s="1" t="n">
        <v>251.55242232</v>
      </c>
      <c r="AH79" s="1" t="n">
        <v>32.73043972</v>
      </c>
      <c r="AI79" s="1" t="n">
        <v>2.8</v>
      </c>
      <c r="AJ79" s="1" t="n">
        <v>9172.889521814</v>
      </c>
      <c r="AK79" s="1" t="n">
        <v>3271.71996528</v>
      </c>
      <c r="AL79" s="1" t="n">
        <v>6005.041787251</v>
      </c>
      <c r="AM79" s="1" t="n">
        <v>3195.938866872</v>
      </c>
      <c r="AO79" s="3" t="n">
        <f aca="false">D79/K79</f>
        <v>0.381788130154183</v>
      </c>
      <c r="AP79" s="3" t="n">
        <f aca="false">(1+D79/K79)</f>
        <v>1.38178813015418</v>
      </c>
      <c r="AQ79" s="3" t="n">
        <f aca="false">LN(AO79)</f>
        <v>-0.962889457345631</v>
      </c>
      <c r="AR79" s="3" t="n">
        <f aca="false">LN(AP79)</f>
        <v>0.323378406902635</v>
      </c>
    </row>
    <row r="80" customFormat="false" ht="15" hidden="false" customHeight="false" outlineLevel="0" collapsed="false">
      <c r="A80" s="5" t="n">
        <v>44440</v>
      </c>
      <c r="B80" s="1" t="n">
        <v>105.445452007</v>
      </c>
      <c r="C80" s="1" t="n">
        <v>273.014864289</v>
      </c>
      <c r="D80" s="1" t="n">
        <v>10059.557400127</v>
      </c>
      <c r="E80" s="1" t="n">
        <v>0</v>
      </c>
      <c r="F80" s="1" t="n">
        <v>0</v>
      </c>
      <c r="G80" s="1" t="n">
        <v>6876.157911736</v>
      </c>
      <c r="H80" s="1" t="n">
        <v>6298.111571673</v>
      </c>
      <c r="I80" s="1" t="n">
        <v>494.289140586</v>
      </c>
      <c r="J80" s="1" t="n">
        <v>70.231317499</v>
      </c>
      <c r="K80" s="1" t="n">
        <v>27357.488847239</v>
      </c>
      <c r="L80" s="1" t="n">
        <v>91.4593248506667</v>
      </c>
      <c r="M80" s="1" t="n">
        <v>109.36807</v>
      </c>
      <c r="N80" s="1" t="n">
        <v>100.524802631121</v>
      </c>
      <c r="O80" s="1" t="n">
        <v>55.0233135331725</v>
      </c>
      <c r="P80" s="1" t="n">
        <v>57.0281916546523</v>
      </c>
      <c r="Q80" s="1" t="n">
        <v>115.25259913043</v>
      </c>
      <c r="R80" s="1" t="n">
        <v>53.8534413125524</v>
      </c>
      <c r="S80" s="1" t="n">
        <v>52.4808479733593</v>
      </c>
      <c r="T80" s="1" t="n">
        <v>106.790004394324</v>
      </c>
      <c r="U80" s="1" t="n">
        <v>3614.353975991</v>
      </c>
      <c r="V80" s="1" t="n">
        <v>53.2912014326026</v>
      </c>
      <c r="W80" s="1" t="n">
        <v>106.8521</v>
      </c>
      <c r="X80" s="1" t="n">
        <v>6896.785658695</v>
      </c>
      <c r="Y80" s="1" t="n">
        <v>6436.024487128</v>
      </c>
      <c r="Z80" s="1" t="n">
        <v>543.19299417</v>
      </c>
      <c r="AA80" s="1" t="n">
        <v>1029.180727701</v>
      </c>
      <c r="AB80" s="1" t="n">
        <v>7475.847388165</v>
      </c>
      <c r="AC80" s="1" t="n">
        <v>7461.601953218</v>
      </c>
      <c r="AD80" s="1" t="n">
        <v>21.532077585</v>
      </c>
      <c r="AE80" s="1" t="n">
        <v>441.288297006</v>
      </c>
      <c r="AF80" s="1" t="n">
        <v>1245.261774038</v>
      </c>
      <c r="AG80" s="1" t="n">
        <v>253.69310815</v>
      </c>
      <c r="AH80" s="1" t="n">
        <v>64.0143</v>
      </c>
      <c r="AI80" s="1" t="n">
        <v>3.77053</v>
      </c>
      <c r="AJ80" s="1" t="n">
        <v>9941.370825596</v>
      </c>
      <c r="AK80" s="1" t="n">
        <v>3542.484835258</v>
      </c>
      <c r="AL80" s="1" t="n">
        <v>6363.208184299</v>
      </c>
      <c r="AM80" s="1" t="n">
        <v>3450.770108176</v>
      </c>
      <c r="AO80" s="3" t="n">
        <f aca="false">D80/K80</f>
        <v>0.367707630488251</v>
      </c>
      <c r="AP80" s="3" t="n">
        <f aca="false">(1+D80/K80)</f>
        <v>1.36770763048825</v>
      </c>
      <c r="AQ80" s="3" t="n">
        <f aca="false">LN(AO80)</f>
        <v>-1.00046713895047</v>
      </c>
      <c r="AR80" s="3" t="n">
        <f aca="false">LN(AP80)</f>
        <v>0.313136075955573</v>
      </c>
    </row>
    <row r="81" customFormat="false" ht="15" hidden="false" customHeight="false" outlineLevel="0" collapsed="false">
      <c r="A81" s="5" t="n">
        <v>44531</v>
      </c>
      <c r="B81" s="1" t="n">
        <v>106.182639648333</v>
      </c>
      <c r="C81" s="1" t="n">
        <v>278.558838804333</v>
      </c>
      <c r="D81" s="1" t="n">
        <v>10144.572213102</v>
      </c>
      <c r="E81" s="1" t="n">
        <v>0</v>
      </c>
      <c r="F81" s="1" t="n">
        <v>0</v>
      </c>
      <c r="G81" s="1" t="n">
        <v>7312.747330815</v>
      </c>
      <c r="H81" s="1" t="n">
        <v>6573.787740818</v>
      </c>
      <c r="I81" s="1" t="n">
        <v>724.300087061</v>
      </c>
      <c r="J81" s="1" t="n">
        <v>79.030566858</v>
      </c>
      <c r="K81" s="1" t="n">
        <v>28298.0618842418</v>
      </c>
      <c r="L81" s="1" t="n">
        <v>92.098733024</v>
      </c>
      <c r="M81" s="1" t="n">
        <v>111.26909</v>
      </c>
      <c r="N81" s="1" t="n">
        <v>101.118518142131</v>
      </c>
      <c r="O81" s="1" t="n">
        <v>55.348289995267</v>
      </c>
      <c r="P81" s="1" t="n">
        <v>57.4268857405064</v>
      </c>
      <c r="Q81" s="1" t="n">
        <v>117.592975263682</v>
      </c>
      <c r="R81" s="1" t="n">
        <v>54.1715083227992</v>
      </c>
      <c r="S81" s="1" t="n">
        <v>52.847750782312</v>
      </c>
      <c r="T81" s="1" t="n">
        <v>108.958534904178</v>
      </c>
      <c r="U81" s="1" t="n">
        <v>3377.619188763</v>
      </c>
      <c r="V81" s="1" t="n">
        <v>53.4321806630347</v>
      </c>
      <c r="W81" s="1" t="n">
        <v>108.61945</v>
      </c>
      <c r="X81" s="1" t="n">
        <v>7465.823183107</v>
      </c>
      <c r="Y81" s="1" t="n">
        <v>6667.774262847</v>
      </c>
      <c r="Z81" s="1" t="n">
        <v>609.986823557</v>
      </c>
      <c r="AA81" s="1" t="n">
        <v>1282.431435782</v>
      </c>
      <c r="AB81" s="1" t="n">
        <v>8070.089232909</v>
      </c>
      <c r="AC81" s="1" t="n">
        <v>7876.096064641</v>
      </c>
      <c r="AD81" s="1" t="n">
        <v>25.009270532</v>
      </c>
      <c r="AE81" s="1" t="n">
        <v>443.12773257</v>
      </c>
      <c r="AF81" s="1" t="n">
        <v>1257.918830639</v>
      </c>
      <c r="AG81" s="1" t="n">
        <v>227.52099662</v>
      </c>
      <c r="AH81" s="1" t="n">
        <v>45.7747458662681</v>
      </c>
      <c r="AI81" s="1" t="n">
        <v>377.17</v>
      </c>
      <c r="AJ81" s="1" t="n">
        <v>10460.298615137</v>
      </c>
      <c r="AK81" s="1" t="n">
        <v>3473.321465657</v>
      </c>
      <c r="AL81" s="1" t="n">
        <v>6959.608418691</v>
      </c>
      <c r="AM81" s="1" t="n">
        <v>3684.100390451</v>
      </c>
      <c r="AO81" s="3" t="n">
        <f aca="false">D81/K81</f>
        <v>0.358490000290485</v>
      </c>
      <c r="AP81" s="3" t="n">
        <f aca="false">(1+D81/K81)</f>
        <v>1.35849000029048</v>
      </c>
      <c r="AQ81" s="3" t="n">
        <f aca="false">LN(AO81)</f>
        <v>-1.025854512524</v>
      </c>
      <c r="AR81" s="3" t="n">
        <f aca="false">LN(AP81)</f>
        <v>0.306373789011009</v>
      </c>
    </row>
    <row r="82" customFormat="false" ht="15" hidden="false" customHeight="false" outlineLevel="0" collapsed="false">
      <c r="A82" s="5" t="n">
        <v>44621</v>
      </c>
      <c r="B82" s="1" t="n">
        <v>107.324528936</v>
      </c>
      <c r="C82" s="1" t="n">
        <v>284.737734046333</v>
      </c>
      <c r="D82" s="1" t="n">
        <v>10765.484942785</v>
      </c>
      <c r="E82" s="1" t="n">
        <v>0</v>
      </c>
      <c r="F82" s="1" t="n">
        <v>0</v>
      </c>
      <c r="G82" s="1" t="n">
        <v>8219.586540166</v>
      </c>
      <c r="H82" s="1" t="n">
        <v>7518.62793016</v>
      </c>
      <c r="I82" s="1" t="n">
        <v>797.791312331</v>
      </c>
      <c r="J82" s="1" t="n">
        <v>94.883802765</v>
      </c>
      <c r="K82" s="1" t="n">
        <v>28505.7267707868</v>
      </c>
      <c r="L82" s="1" t="n">
        <v>93.0891638223333</v>
      </c>
      <c r="M82" s="1" t="n">
        <v>113.52409</v>
      </c>
      <c r="N82" s="1" t="n">
        <v>102.119749838234</v>
      </c>
      <c r="O82" s="1" t="n">
        <v>55.8963247497959</v>
      </c>
      <c r="P82" s="1" t="n">
        <v>58.0444551084212</v>
      </c>
      <c r="Q82" s="1" t="n">
        <v>120.201381726275</v>
      </c>
      <c r="R82" s="1" t="n">
        <v>54.7078910957572</v>
      </c>
      <c r="S82" s="1" t="n">
        <v>53.4160760819604</v>
      </c>
      <c r="T82" s="1" t="n">
        <v>111.375415214939</v>
      </c>
      <c r="U82" s="1" t="n">
        <v>3779.216921333</v>
      </c>
      <c r="V82" s="1" t="n">
        <v>53.7956121531744</v>
      </c>
      <c r="W82" s="1" t="n">
        <v>110.65277</v>
      </c>
      <c r="X82" s="1" t="n">
        <v>8307.589252447</v>
      </c>
      <c r="Y82" s="1" t="n">
        <v>7423.993086089</v>
      </c>
      <c r="Z82" s="1" t="n">
        <v>660.029440053</v>
      </c>
      <c r="AA82" s="1" t="n">
        <v>1397.28271493</v>
      </c>
      <c r="AB82" s="1" t="n">
        <v>8940.236592829</v>
      </c>
      <c r="AC82" s="1" t="n">
        <v>8862.018306004</v>
      </c>
      <c r="AD82" s="1" t="n">
        <v>31.354064203</v>
      </c>
      <c r="AE82" s="1" t="n">
        <v>487.947623713</v>
      </c>
      <c r="AF82" s="1" t="n">
        <v>1306.570904102</v>
      </c>
      <c r="AG82" s="1" t="n">
        <v>195.83099051</v>
      </c>
      <c r="AH82" s="1" t="n">
        <v>19.164706932</v>
      </c>
      <c r="AI82" s="1" t="n">
        <v>2.8</v>
      </c>
      <c r="AJ82" s="1" t="n">
        <v>10686.980072327</v>
      </c>
      <c r="AK82" s="1" t="n">
        <v>3787.236969658</v>
      </c>
      <c r="AL82" s="1" t="n">
        <v>6861.632934439</v>
      </c>
      <c r="AM82" s="1" t="n">
        <v>3947.729185033</v>
      </c>
      <c r="AO82" s="3" t="n">
        <f aca="false">D82/K82</f>
        <v>0.377660426950337</v>
      </c>
      <c r="AP82" s="3" t="n">
        <f aca="false">(1+D82/K82)</f>
        <v>1.37766042695034</v>
      </c>
      <c r="AQ82" s="3" t="n">
        <f aca="false">LN(AO82)</f>
        <v>-0.973759828514232</v>
      </c>
      <c r="AR82" s="3" t="n">
        <f aca="false">LN(AP82)</f>
        <v>0.320386717659603</v>
      </c>
    </row>
    <row r="83" customFormat="false" ht="15" hidden="false" customHeight="false" outlineLevel="0" collapsed="false">
      <c r="A83" s="5" t="n">
        <v>44713</v>
      </c>
      <c r="B83" s="1" t="n">
        <v>108.600432275667</v>
      </c>
      <c r="C83" s="1" t="n">
        <v>291.761927177333</v>
      </c>
      <c r="D83" s="1" t="n">
        <v>11432.163309869</v>
      </c>
      <c r="E83" s="1" t="n">
        <v>0</v>
      </c>
      <c r="F83" s="1" t="n">
        <v>0</v>
      </c>
      <c r="G83" s="1" t="n">
        <v>8522.453650233</v>
      </c>
      <c r="H83" s="1" t="n">
        <v>7786.52439353</v>
      </c>
      <c r="I83" s="1" t="n">
        <v>818.531526997</v>
      </c>
      <c r="J83" s="1" t="n">
        <v>106.741417770667</v>
      </c>
      <c r="K83" s="1" t="n">
        <v>29070.7449087931</v>
      </c>
      <c r="L83" s="1" t="n">
        <v>94.1958332493334</v>
      </c>
      <c r="M83" s="1" t="n">
        <v>116.02461</v>
      </c>
      <c r="N83" s="1" t="n">
        <v>102.988052301243</v>
      </c>
      <c r="O83" s="1" t="n">
        <v>56.3715992831776</v>
      </c>
      <c r="P83" s="1" t="n">
        <v>58.7345034585623</v>
      </c>
      <c r="Q83" s="1" t="n">
        <v>123.166628755041</v>
      </c>
      <c r="R83" s="1" t="n">
        <v>55.1730606311286</v>
      </c>
      <c r="S83" s="1" t="n">
        <v>54.0511009969591</v>
      </c>
      <c r="T83" s="1" t="n">
        <v>114.122934538767</v>
      </c>
      <c r="U83" s="1" t="n">
        <v>4327.704494983</v>
      </c>
      <c r="V83" s="1" t="n">
        <v>54.3341321138354</v>
      </c>
      <c r="W83" s="1" t="n">
        <v>112.59548</v>
      </c>
      <c r="X83" s="1" t="n">
        <v>8622.910742165</v>
      </c>
      <c r="Y83" s="1" t="n">
        <v>7825.397568533</v>
      </c>
      <c r="Z83" s="1" t="n">
        <v>712.571917006</v>
      </c>
      <c r="AA83" s="1" t="n">
        <v>1381.035426691</v>
      </c>
      <c r="AB83" s="1" t="n">
        <v>9336.618150944</v>
      </c>
      <c r="AC83" s="1" t="n">
        <v>9272.080349895</v>
      </c>
      <c r="AD83" s="1" t="n">
        <v>99.568743857</v>
      </c>
      <c r="AE83" s="1" t="n">
        <v>482.956857216</v>
      </c>
      <c r="AF83" s="1" t="n">
        <v>1275.870747401</v>
      </c>
      <c r="AG83" s="1" t="n">
        <v>240.18026735</v>
      </c>
      <c r="AH83" s="1" t="n">
        <v>21.924596992</v>
      </c>
      <c r="AI83" s="1" t="n">
        <v>2.8</v>
      </c>
      <c r="AJ83" s="1" t="n">
        <v>11193.119087131</v>
      </c>
      <c r="AK83" s="1" t="n">
        <v>4386.035611798</v>
      </c>
      <c r="AL83" s="1" t="n">
        <v>6925.486878613</v>
      </c>
      <c r="AM83" s="1" t="n">
        <v>3692.398914323</v>
      </c>
      <c r="AO83" s="3" t="n">
        <f aca="false">D83/K83</f>
        <v>0.393253194774898</v>
      </c>
      <c r="AP83" s="3" t="n">
        <f aca="false">(1+D83/K83)</f>
        <v>1.3932531947749</v>
      </c>
      <c r="AQ83" s="3" t="n">
        <f aca="false">LN(AO83)</f>
        <v>-0.933301613046493</v>
      </c>
      <c r="AR83" s="3" t="n">
        <f aca="false">LN(AP83)</f>
        <v>0.331641440502668</v>
      </c>
    </row>
    <row r="84" customFormat="false" ht="15" hidden="false" customHeight="false" outlineLevel="0" collapsed="false">
      <c r="A84" s="5" t="n">
        <v>44805</v>
      </c>
      <c r="B84" s="1" t="n">
        <v>109.514609700667</v>
      </c>
      <c r="C84" s="1" t="n">
        <v>295.758978588333</v>
      </c>
      <c r="D84" s="1" t="n">
        <v>11419.447488826</v>
      </c>
      <c r="E84" s="1" t="n">
        <v>0</v>
      </c>
      <c r="F84" s="1" t="n">
        <v>0</v>
      </c>
      <c r="G84" s="1" t="n">
        <v>8055.863714924</v>
      </c>
      <c r="H84" s="1" t="n">
        <v>7600.133131552</v>
      </c>
      <c r="I84" s="1" t="n">
        <v>339.012758077</v>
      </c>
      <c r="J84" s="1" t="n">
        <v>91.6223372156667</v>
      </c>
      <c r="K84" s="1" t="n">
        <v>29567.9680569543</v>
      </c>
      <c r="L84" s="1" t="n">
        <v>94.9887555503333</v>
      </c>
      <c r="M84" s="1" t="n">
        <v>117.29755</v>
      </c>
      <c r="N84" s="1" t="n">
        <v>101.821481103394</v>
      </c>
      <c r="O84" s="1" t="n">
        <v>55.7330642042922</v>
      </c>
      <c r="P84" s="1" t="n">
        <v>59.2289191437054</v>
      </c>
      <c r="Q84" s="1" t="n">
        <v>124.853974845794</v>
      </c>
      <c r="R84" s="1" t="n">
        <v>54.5481016966575</v>
      </c>
      <c r="S84" s="1" t="n">
        <v>54.5060927064064</v>
      </c>
      <c r="T84" s="1" t="n">
        <v>115.686384715213</v>
      </c>
      <c r="U84" s="1" t="n">
        <v>4530.359967702</v>
      </c>
      <c r="V84" s="1" t="n">
        <v>54.3119526925475</v>
      </c>
      <c r="W84" s="1" t="n">
        <v>113.89517</v>
      </c>
      <c r="X84" s="1" t="n">
        <v>8089.139881771</v>
      </c>
      <c r="Y84" s="1" t="n">
        <v>7704.835861868</v>
      </c>
      <c r="Z84" s="1" t="n">
        <v>751.253960341</v>
      </c>
      <c r="AA84" s="1" t="n">
        <v>1395.354285838</v>
      </c>
      <c r="AB84" s="1" t="n">
        <v>8874.431063913</v>
      </c>
      <c r="AC84" s="1" t="n">
        <v>9088.635161687</v>
      </c>
      <c r="AD84" s="1" t="n">
        <v>55.77866005</v>
      </c>
      <c r="AE84" s="1" t="n">
        <v>543.469595244</v>
      </c>
      <c r="AF84" s="1" t="n">
        <v>1314.352023934</v>
      </c>
      <c r="AG84" s="1" t="n">
        <v>337.60928368</v>
      </c>
      <c r="AH84" s="1" t="n">
        <v>30.06855712</v>
      </c>
      <c r="AI84" s="1" t="n">
        <v>2.8</v>
      </c>
      <c r="AJ84" s="1" t="n">
        <v>11705.831252383</v>
      </c>
      <c r="AK84" s="1" t="n">
        <v>4561.468289493</v>
      </c>
      <c r="AL84" s="1" t="n">
        <v>7270.844396093</v>
      </c>
      <c r="AM84" s="1" t="n">
        <v>3696.725861292</v>
      </c>
      <c r="AO84" s="3" t="n">
        <f aca="false">D84/K84</f>
        <v>0.386210086091465</v>
      </c>
      <c r="AP84" s="3" t="n">
        <f aca="false">(1+D84/K84)</f>
        <v>1.38621008609146</v>
      </c>
      <c r="AQ84" s="3" t="n">
        <f aca="false">LN(AO84)</f>
        <v>-0.951373793089842</v>
      </c>
      <c r="AR84" s="3" t="n">
        <f aca="false">LN(AP84)</f>
        <v>0.326573466547607</v>
      </c>
    </row>
    <row r="85" customFormat="false" ht="15" hidden="false" customHeight="false" outlineLevel="0" collapsed="false">
      <c r="A85" s="5" t="n">
        <v>44896</v>
      </c>
      <c r="B85" s="1" t="n">
        <v>110.197508105</v>
      </c>
      <c r="C85" s="1" t="n">
        <v>298.392937544333</v>
      </c>
      <c r="D85" s="1" t="n">
        <v>11597.378529661</v>
      </c>
      <c r="E85" s="1" t="n">
        <v>0</v>
      </c>
      <c r="F85" s="1" t="n">
        <v>0</v>
      </c>
      <c r="G85" s="1" t="n">
        <v>7839.448900159</v>
      </c>
      <c r="H85" s="1" t="n">
        <v>7453.578301286</v>
      </c>
      <c r="I85" s="1" t="n">
        <v>364.656257181</v>
      </c>
      <c r="J85" s="1" t="n">
        <v>84.3979984916667</v>
      </c>
      <c r="K85" s="1" t="n">
        <v>29441.6392634641</v>
      </c>
      <c r="L85" s="1" t="n">
        <v>95.581075329</v>
      </c>
      <c r="M85" s="1" t="n">
        <v>118.41272</v>
      </c>
      <c r="N85" s="1" t="n">
        <v>102.396217198531</v>
      </c>
      <c r="O85" s="1" t="n">
        <v>56.0476520824456</v>
      </c>
      <c r="P85" s="1" t="n">
        <v>59.5982519156906</v>
      </c>
      <c r="Q85" s="1" t="n">
        <v>125.965894581273</v>
      </c>
      <c r="R85" s="1" t="n">
        <v>54.8560009987154</v>
      </c>
      <c r="S85" s="1" t="n">
        <v>54.8459754292448</v>
      </c>
      <c r="T85" s="1" t="n">
        <v>116.716660078491</v>
      </c>
      <c r="U85" s="1" t="n">
        <v>4146.442337236</v>
      </c>
      <c r="V85" s="1" t="n">
        <v>54.5306610541085</v>
      </c>
      <c r="W85" s="1" t="n">
        <v>115.06041</v>
      </c>
      <c r="X85" s="1" t="n">
        <v>8013.830989063</v>
      </c>
      <c r="Y85" s="1" t="n">
        <v>7521.52193816</v>
      </c>
      <c r="Z85" s="1" t="n">
        <v>788.084795868</v>
      </c>
      <c r="AA85" s="1" t="n">
        <v>1387.604086279</v>
      </c>
      <c r="AB85" s="1" t="n">
        <v>8797.113682288</v>
      </c>
      <c r="AC85" s="1" t="n">
        <v>8838.168596738</v>
      </c>
      <c r="AD85" s="1" t="n">
        <v>47.566785794</v>
      </c>
      <c r="AE85" s="1" t="n">
        <v>606.845270207</v>
      </c>
      <c r="AF85" s="1" t="n">
        <v>1359.764007883</v>
      </c>
      <c r="AG85" s="1" t="n">
        <v>376.21927051</v>
      </c>
      <c r="AH85" s="1" t="n">
        <v>25.5793533049307</v>
      </c>
      <c r="AI85" s="1" t="n">
        <v>2.8</v>
      </c>
      <c r="AJ85" s="1" t="n">
        <v>11577.530025907</v>
      </c>
      <c r="AK85" s="1" t="n">
        <v>4310.140212044</v>
      </c>
      <c r="AL85" s="1" t="n">
        <v>7302.457680283</v>
      </c>
      <c r="AM85" s="1" t="n">
        <v>3767.185279232</v>
      </c>
      <c r="AO85" s="3" t="n">
        <f aca="false">D85/K85</f>
        <v>0.393910761078201</v>
      </c>
      <c r="AP85" s="3" t="n">
        <f aca="false">(1+D85/K85)</f>
        <v>1.3939107610782</v>
      </c>
      <c r="AQ85" s="3" t="n">
        <f aca="false">LN(AO85)</f>
        <v>-0.931630890063384</v>
      </c>
      <c r="AR85" s="3" t="n">
        <f aca="false">LN(AP85)</f>
        <v>0.332113293846008</v>
      </c>
    </row>
    <row r="86" customFormat="false" ht="15" hidden="false" customHeight="false" outlineLevel="0" collapsed="false">
      <c r="A86" s="5" t="n">
        <v>44986</v>
      </c>
      <c r="B86" s="1" t="n">
        <v>110.532669143333</v>
      </c>
      <c r="C86" s="1" t="n">
        <v>301.24766638</v>
      </c>
      <c r="D86" s="1" t="n">
        <v>11993.509758047</v>
      </c>
      <c r="E86" s="1" t="n">
        <v>0</v>
      </c>
      <c r="F86" s="1" t="n">
        <v>0</v>
      </c>
      <c r="G86" s="1" t="n">
        <v>7593.589063511</v>
      </c>
      <c r="H86" s="1" t="n">
        <v>7377.874219033</v>
      </c>
      <c r="I86" s="1" t="n">
        <v>319.454468337</v>
      </c>
      <c r="J86" s="1" t="n">
        <v>76.8274842683333</v>
      </c>
      <c r="K86" s="1" t="n">
        <v>29559.8590756311</v>
      </c>
      <c r="L86" s="1" t="n">
        <v>95.8717811066667</v>
      </c>
      <c r="M86" s="1" t="n">
        <v>119.56438</v>
      </c>
      <c r="N86" s="1" t="n">
        <v>101.238984629544</v>
      </c>
      <c r="O86" s="1" t="n">
        <v>55.4142286008017</v>
      </c>
      <c r="P86" s="1" t="n">
        <v>59.7795174664132</v>
      </c>
      <c r="Q86" s="1" t="n">
        <v>127.171011815384</v>
      </c>
      <c r="R86" s="1" t="n">
        <v>54.2360449818147</v>
      </c>
      <c r="S86" s="1" t="n">
        <v>55.0127871329701</v>
      </c>
      <c r="T86" s="1" t="n">
        <v>117.833289774458</v>
      </c>
      <c r="U86" s="1" t="n">
        <v>3778.14295035</v>
      </c>
      <c r="V86" s="1" t="n">
        <v>54.3737979520468</v>
      </c>
      <c r="W86" s="1" t="n">
        <v>116.24026</v>
      </c>
      <c r="X86" s="1" t="n">
        <v>7652.353716724</v>
      </c>
      <c r="Y86" s="1" t="n">
        <v>7298.274664338</v>
      </c>
      <c r="Z86" s="1" t="n">
        <v>837.605856178</v>
      </c>
      <c r="AA86" s="1" t="n">
        <v>1308.227031664</v>
      </c>
      <c r="AB86" s="1" t="n">
        <v>8462.846335589</v>
      </c>
      <c r="AC86" s="1" t="n">
        <v>8628.089866027</v>
      </c>
      <c r="AD86" s="1" t="n">
        <v>53.502316052</v>
      </c>
      <c r="AE86" s="1" t="n">
        <v>697.167518236</v>
      </c>
      <c r="AF86" s="1" t="n">
        <v>1391.993068501</v>
      </c>
      <c r="AG86" s="1" t="n">
        <v>272.23128012</v>
      </c>
      <c r="AH86" s="1" t="n">
        <v>19.35505070632</v>
      </c>
      <c r="AI86" s="1" t="n">
        <v>2.8</v>
      </c>
      <c r="AJ86" s="1" t="n">
        <v>11138.114979828</v>
      </c>
      <c r="AK86" s="1" t="n">
        <v>3674.856464253</v>
      </c>
      <c r="AL86" s="1" t="n">
        <v>7339.917638576</v>
      </c>
      <c r="AM86" s="1" t="n">
        <v>3642.839757582</v>
      </c>
      <c r="AO86" s="3" t="n">
        <f aca="false">D86/K86</f>
        <v>0.405736364553049</v>
      </c>
      <c r="AP86" s="3" t="n">
        <f aca="false">(1+D86/K86)</f>
        <v>1.40573636455305</v>
      </c>
      <c r="AQ86" s="3" t="n">
        <f aca="false">LN(AO86)</f>
        <v>-0.902051678689888</v>
      </c>
      <c r="AR86" s="3" t="n">
        <f aca="false">LN(AP86)</f>
        <v>0.340561268376493</v>
      </c>
    </row>
    <row r="87" customFormat="false" ht="15" hidden="false" customHeight="false" outlineLevel="0" collapsed="false">
      <c r="A87" s="5" t="n">
        <v>45078</v>
      </c>
      <c r="B87" s="1" t="n">
        <v>110.835549901</v>
      </c>
      <c r="C87" s="1" t="n">
        <v>303.30897824</v>
      </c>
      <c r="D87" s="1" t="n">
        <v>11987.045161338</v>
      </c>
      <c r="E87" s="1" t="n">
        <v>0</v>
      </c>
      <c r="F87" s="1" t="n">
        <v>0</v>
      </c>
      <c r="G87" s="1" t="n">
        <v>7463.555418013</v>
      </c>
      <c r="H87" s="1" t="n">
        <v>7093.15448864</v>
      </c>
      <c r="I87" s="1" t="n">
        <v>415.585130956</v>
      </c>
      <c r="J87" s="1" t="n">
        <v>71.5275327</v>
      </c>
      <c r="K87" s="1" t="n">
        <v>30275.0867937933</v>
      </c>
      <c r="L87" s="1" t="n">
        <v>96.134488213</v>
      </c>
      <c r="M87" s="1" t="n">
        <v>120.06232</v>
      </c>
      <c r="N87" s="1" t="n">
        <v>102.151906796712</v>
      </c>
      <c r="O87" s="1" t="n">
        <v>55.913926201003</v>
      </c>
      <c r="P87" s="1" t="n">
        <v>59.9433248338051</v>
      </c>
      <c r="Q87" s="1" t="n">
        <v>128.041189891959</v>
      </c>
      <c r="R87" s="1" t="n">
        <v>54.725118315616</v>
      </c>
      <c r="S87" s="1" t="n">
        <v>55.1635327430899</v>
      </c>
      <c r="T87" s="1" t="n">
        <v>118.639573722259</v>
      </c>
      <c r="U87" s="1" t="n">
        <v>3369.878784549</v>
      </c>
      <c r="V87" s="1" t="n">
        <v>54.4644662350195</v>
      </c>
      <c r="W87" s="1" t="n">
        <v>116.95635</v>
      </c>
      <c r="X87" s="1" t="n">
        <v>7543.878578278</v>
      </c>
      <c r="Y87" s="1" t="n">
        <v>7129.754616356</v>
      </c>
      <c r="Z87" s="1" t="n">
        <v>762.232277277</v>
      </c>
      <c r="AA87" s="1" t="n">
        <v>1317.416238144</v>
      </c>
      <c r="AB87" s="1" t="n">
        <v>8305.140689657</v>
      </c>
      <c r="AC87" s="1" t="n">
        <v>8485.073117406</v>
      </c>
      <c r="AD87" s="1" t="n">
        <v>56.709853049</v>
      </c>
      <c r="AE87" s="1" t="n">
        <v>746.521541042</v>
      </c>
      <c r="AF87" s="1" t="n">
        <v>1461.029225252</v>
      </c>
      <c r="AG87" s="1" t="n">
        <v>275.43753863</v>
      </c>
      <c r="AH87" s="1" t="n">
        <v>22.48395440192</v>
      </c>
      <c r="AI87" s="1" t="n">
        <v>2.8</v>
      </c>
      <c r="AJ87" s="1" t="n">
        <v>10984.729571173</v>
      </c>
      <c r="AK87" s="1" t="n">
        <v>3422.3855754</v>
      </c>
      <c r="AL87" s="1" t="n">
        <v>7606.635681549</v>
      </c>
      <c r="AM87" s="1" t="n">
        <v>3775.263594119</v>
      </c>
      <c r="AO87" s="3" t="n">
        <f aca="false">D87/K87</f>
        <v>0.395937598560261</v>
      </c>
      <c r="AP87" s="3" t="n">
        <f aca="false">(1+D87/K87)</f>
        <v>1.39593759856026</v>
      </c>
      <c r="AQ87" s="3" t="n">
        <f aca="false">LN(AO87)</f>
        <v>-0.926498659537873</v>
      </c>
      <c r="AR87" s="3" t="n">
        <f aca="false">LN(AP87)</f>
        <v>0.333566303169366</v>
      </c>
    </row>
    <row r="88" customFormat="false" ht="15" hidden="false" customHeight="false" outlineLevel="0" collapsed="false">
      <c r="A88" s="5" t="n">
        <v>45170</v>
      </c>
      <c r="B88" s="1" t="n">
        <v>111.977385138333</v>
      </c>
      <c r="C88" s="1" t="n">
        <v>306.161681526333</v>
      </c>
      <c r="D88" s="1" t="n">
        <v>12199.456575677</v>
      </c>
      <c r="E88" s="1" t="n">
        <v>0</v>
      </c>
      <c r="F88" s="1" t="n">
        <v>0</v>
      </c>
      <c r="G88" s="1" t="n">
        <v>8324.751777141</v>
      </c>
      <c r="H88" s="1" t="n">
        <v>7401.57893065</v>
      </c>
      <c r="I88" s="1" t="n">
        <v>825.980470892</v>
      </c>
      <c r="J88" s="1" t="n">
        <v>82.3888872176667</v>
      </c>
      <c r="K88" s="1" t="n">
        <v>29842.351447705</v>
      </c>
      <c r="L88" s="1" t="n">
        <v>97.1248721356667</v>
      </c>
      <c r="M88" s="1" t="n">
        <v>121.04438</v>
      </c>
      <c r="N88" s="1" t="n">
        <v>102.047042987102</v>
      </c>
      <c r="O88" s="1" t="n">
        <v>55.8565278861251</v>
      </c>
      <c r="P88" s="1" t="n">
        <v>60.5608649696126</v>
      </c>
      <c r="Q88" s="1" t="n">
        <v>129.245452045062</v>
      </c>
      <c r="R88" s="1" t="n">
        <v>54.6689403687925</v>
      </c>
      <c r="S88" s="1" t="n">
        <v>55.731831141556</v>
      </c>
      <c r="T88" s="1" t="n">
        <v>119.755411122822</v>
      </c>
      <c r="U88" s="1" t="n">
        <v>3524.001384803</v>
      </c>
      <c r="V88" s="1" t="n">
        <v>54.7197424757503</v>
      </c>
      <c r="W88" s="1" t="n">
        <v>117.70655</v>
      </c>
      <c r="X88" s="1" t="n">
        <v>8382.020020572</v>
      </c>
      <c r="Y88" s="1" t="n">
        <v>7432.776838848</v>
      </c>
      <c r="Z88" s="1" t="n">
        <v>776.966030779</v>
      </c>
      <c r="AA88" s="1" t="n">
        <v>1325.61895475</v>
      </c>
      <c r="AB88" s="1" t="n">
        <v>9188.753962129</v>
      </c>
      <c r="AC88" s="1" t="n">
        <v>8761.636757016</v>
      </c>
      <c r="AD88" s="1" t="n">
        <v>64.758953637</v>
      </c>
      <c r="AE88" s="1" t="n">
        <v>796.237871984</v>
      </c>
      <c r="AF88" s="1" t="n">
        <v>1498.031170741</v>
      </c>
      <c r="AG88" s="1" t="n">
        <v>312.22263142</v>
      </c>
      <c r="AH88" s="1" t="n">
        <v>26.1155566912</v>
      </c>
      <c r="AI88" s="1" t="n">
        <v>2.8</v>
      </c>
      <c r="AJ88" s="1" t="n">
        <v>10349.051008912</v>
      </c>
      <c r="AK88" s="1" t="n">
        <v>3578.909331604</v>
      </c>
      <c r="AL88" s="1" t="n">
        <v>6962.94724018</v>
      </c>
      <c r="AM88" s="1" t="n">
        <v>3409.562216353</v>
      </c>
      <c r="AO88" s="3" t="n">
        <f aca="false">D88/K88</f>
        <v>0.40879675976791</v>
      </c>
      <c r="AP88" s="3" t="n">
        <f aca="false">(1+D88/K88)</f>
        <v>1.40879675976791</v>
      </c>
      <c r="AQ88" s="3" t="n">
        <f aca="false">LN(AO88)</f>
        <v>-0.894537166327798</v>
      </c>
      <c r="AR88" s="3" t="n">
        <f aca="false">LN(AP88)</f>
        <v>0.342735978202829</v>
      </c>
    </row>
    <row r="89" customFormat="false" ht="15" hidden="false" customHeight="false" outlineLevel="0" collapsed="false">
      <c r="A89" s="5" t="n">
        <v>45261</v>
      </c>
      <c r="B89" s="1" t="n">
        <v>111.950953318333</v>
      </c>
      <c r="C89" s="1" t="n">
        <v>308.111157459667</v>
      </c>
      <c r="D89" s="1" t="n">
        <v>12018.65474623</v>
      </c>
      <c r="E89" s="1" t="n">
        <v>0</v>
      </c>
      <c r="F89" s="1" t="n">
        <v>0</v>
      </c>
      <c r="G89" s="1" t="n">
        <v>2609.738572796</v>
      </c>
      <c r="H89" s="1" t="n">
        <v>7277.95040156</v>
      </c>
      <c r="I89" s="1" t="n">
        <v>-4664.920530013</v>
      </c>
      <c r="J89" s="1" t="n">
        <v>79.858248929</v>
      </c>
      <c r="K89" s="1" t="n">
        <v>29167.5294744276</v>
      </c>
      <c r="L89" s="1" t="n">
        <v>97.1019461893333</v>
      </c>
      <c r="M89" s="1" t="n">
        <v>121.54626</v>
      </c>
      <c r="N89" s="1" t="n">
        <v>102.208652907957</v>
      </c>
      <c r="O89" s="1" t="n">
        <v>55.9449867849493</v>
      </c>
      <c r="P89" s="1" t="n">
        <v>60.5465698163551</v>
      </c>
      <c r="Q89" s="1" t="n">
        <v>130.068418841555</v>
      </c>
      <c r="R89" s="1" t="n">
        <v>54.7555185083212</v>
      </c>
      <c r="S89" s="1" t="n">
        <v>55.7186758626827</v>
      </c>
      <c r="T89" s="1" t="n">
        <v>120.517950349503</v>
      </c>
      <c r="U89" s="1" t="n">
        <v>3849.233086961</v>
      </c>
      <c r="V89" s="1" t="n">
        <v>54.5487169102473</v>
      </c>
      <c r="W89" s="1" t="n">
        <v>118.22876</v>
      </c>
      <c r="X89" s="1" t="n">
        <v>7919.324067036</v>
      </c>
      <c r="Y89" s="1" t="n">
        <v>7398.090271815</v>
      </c>
      <c r="Z89" s="1" t="n">
        <v>813.48119963</v>
      </c>
      <c r="AA89" s="1" t="n">
        <v>1331.986784336</v>
      </c>
      <c r="AB89" s="1" t="n">
        <v>8730.630057257</v>
      </c>
      <c r="AC89" s="1" t="n">
        <v>8679.251577947</v>
      </c>
      <c r="AD89" s="1" t="n">
        <v>62.221919697</v>
      </c>
      <c r="AE89" s="1" t="n">
        <v>806.22852605</v>
      </c>
      <c r="AF89" s="1" t="n">
        <v>1572.394270686</v>
      </c>
      <c r="AG89" s="1" t="n">
        <v>307.64893158</v>
      </c>
      <c r="AH89" s="1" t="n">
        <v>25.1573106379801</v>
      </c>
      <c r="AI89" s="1" t="n">
        <v>2.8</v>
      </c>
      <c r="AJ89" s="1" t="n">
        <v>11106.129288414</v>
      </c>
      <c r="AK89" s="1" t="n">
        <v>3806.870107237</v>
      </c>
      <c r="AL89" s="1" t="n">
        <v>7135.280780666</v>
      </c>
      <c r="AM89" s="1" t="n">
        <v>3492.851682819</v>
      </c>
      <c r="AO89" s="3" t="n">
        <f aca="false">D89/K89</f>
        <v>0.41205597329617</v>
      </c>
      <c r="AP89" s="3" t="n">
        <f aca="false">(1+D89/K89)</f>
        <v>1.41205597329617</v>
      </c>
      <c r="AQ89" s="3" t="n">
        <f aca="false">LN(AO89)</f>
        <v>-0.886596081345431</v>
      </c>
      <c r="AR89" s="3" t="n">
        <f aca="false">LN(AP89)</f>
        <v>0.345046779429958</v>
      </c>
    </row>
    <row r="90" customFormat="false" ht="15" hidden="false" customHeight="false" outlineLevel="0" collapsed="false">
      <c r="V90" s="5"/>
    </row>
    <row r="91" customFormat="false" ht="15" hidden="false" customHeight="false" outlineLevel="0" collapsed="false">
      <c r="V91" s="5"/>
    </row>
    <row r="92" customFormat="false" ht="15" hidden="false" customHeight="false" outlineLevel="0" collapsed="false">
      <c r="V92" s="5"/>
    </row>
    <row r="93" customFormat="false" ht="15" hidden="false" customHeight="false" outlineLevel="0" collapsed="false">
      <c r="V93" s="5"/>
    </row>
    <row r="94" customFormat="false" ht="15" hidden="false" customHeight="false" outlineLevel="0" collapsed="false">
      <c r="V94" s="5"/>
    </row>
    <row r="95" customFormat="false" ht="15" hidden="false" customHeight="false" outlineLevel="0" collapsed="false">
      <c r="V95" s="5"/>
    </row>
    <row r="96" customFormat="false" ht="15" hidden="false" customHeight="false" outlineLevel="0" collapsed="false">
      <c r="V96" s="5"/>
    </row>
    <row r="97" customFormat="false" ht="15" hidden="false" customHeight="false" outlineLevel="0" collapsed="false">
      <c r="V97" s="5"/>
    </row>
    <row r="98" customFormat="false" ht="15" hidden="false" customHeight="false" outlineLevel="0" collapsed="false">
      <c r="V98" s="5"/>
    </row>
    <row r="99" customFormat="false" ht="15" hidden="false" customHeight="false" outlineLevel="0" collapsed="false">
      <c r="V99" s="5"/>
    </row>
    <row r="100" customFormat="false" ht="15" hidden="false" customHeight="false" outlineLevel="0" collapsed="false">
      <c r="V100" s="5"/>
    </row>
    <row r="101" customFormat="false" ht="15" hidden="false" customHeight="false" outlineLevel="0" collapsed="false">
      <c r="V101" s="5"/>
    </row>
    <row r="102" customFormat="false" ht="15" hidden="false" customHeight="false" outlineLevel="0" collapsed="false">
      <c r="V102" s="5"/>
    </row>
    <row r="103" customFormat="false" ht="15" hidden="false" customHeight="false" outlineLevel="0" collapsed="false">
      <c r="V103" s="5"/>
    </row>
    <row r="104" customFormat="false" ht="15" hidden="false" customHeight="false" outlineLevel="0" collapsed="false">
      <c r="V104" s="5"/>
    </row>
    <row r="105" customFormat="false" ht="15" hidden="false" customHeight="false" outlineLevel="0" collapsed="false">
      <c r="V105" s="5"/>
    </row>
    <row r="106" customFormat="false" ht="15" hidden="false" customHeight="false" outlineLevel="0" collapsed="false">
      <c r="V106" s="5"/>
    </row>
    <row r="107" customFormat="false" ht="15" hidden="false" customHeight="false" outlineLevel="0" collapsed="false">
      <c r="V107" s="5"/>
    </row>
    <row r="108" customFormat="false" ht="15" hidden="false" customHeight="false" outlineLevel="0" collapsed="false">
      <c r="V108" s="5"/>
    </row>
    <row r="109" customFormat="false" ht="15" hidden="false" customHeight="false" outlineLevel="0" collapsed="false">
      <c r="V109" s="5"/>
    </row>
    <row r="110" customFormat="false" ht="15" hidden="false" customHeight="false" outlineLevel="0" collapsed="false">
      <c r="V110" s="5"/>
    </row>
    <row r="111" customFormat="false" ht="15" hidden="false" customHeight="false" outlineLevel="0" collapsed="false">
      <c r="V111" s="5"/>
    </row>
    <row r="112" customFormat="false" ht="15" hidden="false" customHeight="false" outlineLevel="0" collapsed="false">
      <c r="V112" s="5"/>
    </row>
    <row r="113" customFormat="false" ht="15" hidden="false" customHeight="false" outlineLevel="0" collapsed="false">
      <c r="V113" s="5"/>
    </row>
    <row r="114" customFormat="false" ht="15" hidden="false" customHeight="false" outlineLevel="0" collapsed="false">
      <c r="V114" s="5"/>
    </row>
    <row r="115" customFormat="false" ht="15" hidden="false" customHeight="false" outlineLevel="0" collapsed="false">
      <c r="V115" s="5"/>
    </row>
    <row r="116" customFormat="false" ht="15" hidden="false" customHeight="false" outlineLevel="0" collapsed="false">
      <c r="V116" s="5"/>
    </row>
    <row r="117" customFormat="false" ht="15" hidden="false" customHeight="false" outlineLevel="0" collapsed="false">
      <c r="V117" s="5"/>
    </row>
    <row r="118" customFormat="false" ht="15" hidden="false" customHeight="false" outlineLevel="0" collapsed="false">
      <c r="V118" s="5"/>
    </row>
    <row r="119" customFormat="false" ht="15" hidden="false" customHeight="false" outlineLevel="0" collapsed="false">
      <c r="V119" s="5"/>
    </row>
    <row r="120" customFormat="false" ht="15" hidden="false" customHeight="false" outlineLevel="0" collapsed="false">
      <c r="V120" s="5"/>
    </row>
    <row r="121" customFormat="false" ht="15" hidden="false" customHeight="false" outlineLevel="0" collapsed="false">
      <c r="V121" s="5"/>
    </row>
    <row r="122" customFormat="false" ht="15" hidden="false" customHeight="false" outlineLevel="0" collapsed="false">
      <c r="V122" s="5"/>
    </row>
    <row r="123" customFormat="false" ht="15" hidden="false" customHeight="false" outlineLevel="0" collapsed="false">
      <c r="V123" s="5"/>
    </row>
    <row r="124" customFormat="false" ht="15" hidden="false" customHeight="false" outlineLevel="0" collapsed="false">
      <c r="V124" s="5"/>
    </row>
    <row r="125" customFormat="false" ht="15" hidden="false" customHeight="false" outlineLevel="0" collapsed="false">
      <c r="V125" s="5"/>
    </row>
    <row r="126" customFormat="false" ht="15" hidden="false" customHeight="false" outlineLevel="0" collapsed="false">
      <c r="V126" s="5"/>
    </row>
    <row r="127" customFormat="false" ht="15" hidden="false" customHeight="false" outlineLevel="0" collapsed="false">
      <c r="V127" s="5"/>
    </row>
    <row r="128" customFormat="false" ht="15" hidden="false" customHeight="false" outlineLevel="0" collapsed="false">
      <c r="V128" s="5"/>
    </row>
    <row r="129" customFormat="false" ht="15" hidden="false" customHeight="false" outlineLevel="0" collapsed="false">
      <c r="V129" s="5"/>
    </row>
    <row r="130" customFormat="false" ht="15" hidden="false" customHeight="false" outlineLevel="0" collapsed="false">
      <c r="V130" s="5"/>
    </row>
    <row r="131" customFormat="false" ht="15" hidden="false" customHeight="false" outlineLevel="0" collapsed="false">
      <c r="V131" s="5"/>
    </row>
    <row r="132" customFormat="false" ht="15" hidden="false" customHeight="false" outlineLevel="0" collapsed="false">
      <c r="V132" s="5"/>
    </row>
    <row r="133" customFormat="false" ht="15" hidden="false" customHeight="false" outlineLevel="0" collapsed="false">
      <c r="V133" s="5"/>
    </row>
    <row r="134" customFormat="false" ht="15" hidden="false" customHeight="false" outlineLevel="0" collapsed="false">
      <c r="V134" s="5"/>
    </row>
    <row r="135" customFormat="false" ht="15" hidden="false" customHeight="false" outlineLevel="0" collapsed="false">
      <c r="V135" s="5"/>
    </row>
    <row r="136" customFormat="false" ht="15" hidden="false" customHeight="false" outlineLevel="0" collapsed="false">
      <c r="V136" s="5"/>
    </row>
    <row r="137" customFormat="false" ht="15" hidden="false" customHeight="false" outlineLevel="0" collapsed="false">
      <c r="V137" s="5"/>
    </row>
    <row r="138" customFormat="false" ht="15" hidden="false" customHeight="false" outlineLevel="0" collapsed="false">
      <c r="V138" s="5"/>
    </row>
    <row r="139" customFormat="false" ht="15" hidden="false" customHeight="false" outlineLevel="0" collapsed="false">
      <c r="V139" s="5"/>
    </row>
    <row r="140" customFormat="false" ht="15" hidden="false" customHeight="false" outlineLevel="0" collapsed="false">
      <c r="V140" s="5"/>
    </row>
    <row r="141" customFormat="false" ht="15" hidden="false" customHeight="false" outlineLevel="0" collapsed="false">
      <c r="V141" s="5"/>
    </row>
    <row r="142" customFormat="false" ht="15" hidden="false" customHeight="false" outlineLevel="0" collapsed="false">
      <c r="V142" s="5"/>
    </row>
    <row r="143" customFormat="false" ht="15" hidden="false" customHeight="false" outlineLevel="0" collapsed="false">
      <c r="V143" s="5"/>
    </row>
    <row r="144" customFormat="false" ht="15" hidden="false" customHeight="false" outlineLevel="0" collapsed="false">
      <c r="V144" s="5"/>
    </row>
    <row r="145" customFormat="false" ht="15" hidden="false" customHeight="false" outlineLevel="0" collapsed="false">
      <c r="V145" s="5"/>
    </row>
    <row r="146" customFormat="false" ht="15" hidden="false" customHeight="false" outlineLevel="0" collapsed="false">
      <c r="V146" s="5"/>
    </row>
    <row r="147" customFormat="false" ht="15" hidden="false" customHeight="false" outlineLevel="0" collapsed="false">
      <c r="V147" s="5"/>
    </row>
    <row r="148" customFormat="false" ht="15" hidden="false" customHeight="false" outlineLevel="0" collapsed="false">
      <c r="V148" s="5"/>
    </row>
    <row r="149" customFormat="false" ht="15" hidden="false" customHeight="false" outlineLevel="0" collapsed="false">
      <c r="V149" s="5"/>
    </row>
    <row r="150" customFormat="false" ht="15" hidden="false" customHeight="false" outlineLevel="0" collapsed="false">
      <c r="V150" s="5"/>
    </row>
    <row r="151" customFormat="false" ht="15" hidden="false" customHeight="false" outlineLevel="0" collapsed="false">
      <c r="V151" s="5"/>
    </row>
    <row r="152" customFormat="false" ht="15" hidden="false" customHeight="false" outlineLevel="0" collapsed="false">
      <c r="V152" s="5"/>
    </row>
    <row r="153" customFormat="false" ht="15" hidden="false" customHeight="false" outlineLevel="0" collapsed="false">
      <c r="V153" s="5"/>
    </row>
    <row r="154" customFormat="false" ht="15" hidden="false" customHeight="false" outlineLevel="0" collapsed="false">
      <c r="V154" s="5"/>
    </row>
    <row r="155" customFormat="false" ht="15" hidden="false" customHeight="false" outlineLevel="0" collapsed="false">
      <c r="V155" s="5"/>
    </row>
    <row r="156" customFormat="false" ht="15" hidden="false" customHeight="false" outlineLevel="0" collapsed="false">
      <c r="V156" s="5"/>
    </row>
    <row r="157" customFormat="false" ht="15" hidden="false" customHeight="false" outlineLevel="0" collapsed="false">
      <c r="V157" s="5"/>
    </row>
    <row r="158" customFormat="false" ht="15" hidden="false" customHeight="false" outlineLevel="0" collapsed="false">
      <c r="V158" s="5"/>
    </row>
    <row r="159" customFormat="false" ht="15" hidden="false" customHeight="false" outlineLevel="0" collapsed="false">
      <c r="V159" s="5"/>
    </row>
    <row r="160" customFormat="false" ht="15" hidden="false" customHeight="false" outlineLevel="0" collapsed="false">
      <c r="V160" s="5"/>
    </row>
    <row r="161" customFormat="false" ht="15" hidden="false" customHeight="false" outlineLevel="0" collapsed="false">
      <c r="V161" s="5"/>
    </row>
    <row r="162" customFormat="false" ht="15" hidden="false" customHeight="false" outlineLevel="0" collapsed="false">
      <c r="V162" s="5"/>
    </row>
    <row r="163" customFormat="false" ht="15" hidden="false" customHeight="false" outlineLevel="0" collapsed="false">
      <c r="V163" s="5"/>
    </row>
    <row r="164" customFormat="false" ht="15" hidden="false" customHeight="false" outlineLevel="0" collapsed="false">
      <c r="V164" s="5"/>
    </row>
    <row r="165" customFormat="false" ht="15" hidden="false" customHeight="false" outlineLevel="0" collapsed="false">
      <c r="V165" s="5"/>
    </row>
    <row r="166" customFormat="false" ht="15" hidden="false" customHeight="false" outlineLevel="0" collapsed="false">
      <c r="V166" s="5"/>
    </row>
    <row r="167" customFormat="false" ht="15" hidden="false" customHeight="false" outlineLevel="0" collapsed="false">
      <c r="V167" s="5"/>
    </row>
    <row r="168" customFormat="false" ht="15" hidden="false" customHeight="false" outlineLevel="0" collapsed="false">
      <c r="V168" s="5"/>
    </row>
    <row r="169" customFormat="false" ht="15" hidden="false" customHeight="false" outlineLevel="0" collapsed="false">
      <c r="V169" s="5"/>
    </row>
    <row r="170" customFormat="false" ht="15" hidden="false" customHeight="false" outlineLevel="0" collapsed="false">
      <c r="V170" s="5"/>
    </row>
    <row r="171" customFormat="false" ht="15" hidden="false" customHeight="false" outlineLevel="0" collapsed="false">
      <c r="V171" s="5"/>
    </row>
    <row r="172" customFormat="false" ht="15" hidden="false" customHeight="false" outlineLevel="0" collapsed="false">
      <c r="V172" s="5"/>
    </row>
    <row r="173" customFormat="false" ht="15" hidden="false" customHeight="false" outlineLevel="0" collapsed="false">
      <c r="V173" s="5"/>
    </row>
    <row r="174" customFormat="false" ht="15" hidden="false" customHeight="false" outlineLevel="0" collapsed="false">
      <c r="V174" s="5"/>
    </row>
    <row r="175" customFormat="false" ht="15" hidden="false" customHeight="false" outlineLevel="0" collapsed="false">
      <c r="V175" s="5"/>
    </row>
    <row r="176" customFormat="false" ht="15" hidden="false" customHeight="false" outlineLevel="0" collapsed="false">
      <c r="V176" s="5"/>
    </row>
    <row r="177" customFormat="false" ht="15" hidden="false" customHeight="false" outlineLevel="0" collapsed="false">
      <c r="V177" s="5"/>
    </row>
    <row r="178" customFormat="false" ht="15" hidden="false" customHeight="false" outlineLevel="0" collapsed="false">
      <c r="V178" s="5"/>
    </row>
    <row r="179" customFormat="false" ht="15" hidden="false" customHeight="false" outlineLevel="0" collapsed="false">
      <c r="V179" s="5"/>
    </row>
    <row r="180" customFormat="false" ht="15" hidden="false" customHeight="false" outlineLevel="0" collapsed="false">
      <c r="V180" s="5"/>
    </row>
    <row r="181" customFormat="false" ht="15" hidden="false" customHeight="false" outlineLevel="0" collapsed="false">
      <c r="V181" s="5"/>
    </row>
    <row r="182" customFormat="false" ht="15" hidden="false" customHeight="false" outlineLevel="0" collapsed="false">
      <c r="V182" s="5"/>
    </row>
    <row r="183" customFormat="false" ht="15" hidden="false" customHeight="false" outlineLevel="0" collapsed="false">
      <c r="V183" s="5"/>
    </row>
    <row r="184" customFormat="false" ht="15" hidden="false" customHeight="false" outlineLevel="0" collapsed="false">
      <c r="V184" s="5"/>
    </row>
    <row r="185" customFormat="false" ht="15" hidden="false" customHeight="false" outlineLevel="0" collapsed="false">
      <c r="V18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1" sqref="H15:H82 C30"/>
    </sheetView>
  </sheetViews>
  <sheetFormatPr defaultColWidth="11.4296875" defaultRowHeight="15" zeroHeight="false" outlineLevelRow="0" outlineLevelCol="0"/>
  <cols>
    <col collapsed="false" customWidth="true" hidden="false" outlineLevel="0" max="2" min="2" style="1" width="47.28"/>
    <col collapsed="false" customWidth="true" hidden="false" outlineLevel="0" max="3" min="3" style="1" width="81.86"/>
  </cols>
  <sheetData>
    <row r="2" customFormat="false" ht="15" hidden="false" customHeight="false" outlineLevel="0" collapsed="false">
      <c r="B2" s="1" t="s">
        <v>24</v>
      </c>
      <c r="C2" s="1" t="s">
        <v>109</v>
      </c>
    </row>
    <row r="3" customFormat="false" ht="15" hidden="false" customHeight="false" outlineLevel="0" collapsed="false">
      <c r="B3" s="1" t="s">
        <v>110</v>
      </c>
      <c r="C3" s="1" t="s">
        <v>111</v>
      </c>
    </row>
    <row r="4" customFormat="false" ht="15" hidden="false" customHeight="false" outlineLevel="0" collapsed="false">
      <c r="B4" s="1" t="s">
        <v>112</v>
      </c>
      <c r="C4" s="1" t="s">
        <v>113</v>
      </c>
    </row>
    <row r="5" customFormat="false" ht="15" hidden="false" customHeight="false" outlineLevel="0" collapsed="false">
      <c r="B5" s="1" t="s">
        <v>114</v>
      </c>
      <c r="C5" s="1" t="s">
        <v>115</v>
      </c>
    </row>
    <row r="6" customFormat="false" ht="15" hidden="false" customHeight="false" outlineLevel="0" collapsed="false">
      <c r="B6" s="21" t="s">
        <v>116</v>
      </c>
      <c r="C6" s="21" t="s">
        <v>117</v>
      </c>
    </row>
    <row r="7" customFormat="false" ht="15" hidden="false" customHeight="false" outlineLevel="0" collapsed="false">
      <c r="B7" s="22" t="s">
        <v>118</v>
      </c>
      <c r="C7" s="22" t="s">
        <v>119</v>
      </c>
    </row>
    <row r="8" customFormat="false" ht="15" hidden="false" customHeight="false" outlineLevel="0" collapsed="false">
      <c r="B8" s="23" t="s">
        <v>120</v>
      </c>
      <c r="C8" s="23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13342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2024-04-30T19:24:41Z</dcterms:created>
  <dc:creator>(Estudiante) Alan Eduardo Bunce Andrade</dc:creator>
  <dc:description/>
  <dc:language>en-US</dc:language>
  <cp:lastModifiedBy/>
  <dcterms:modified xsi:type="dcterms:W3CDTF">2024-12-16T11:44:38Z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